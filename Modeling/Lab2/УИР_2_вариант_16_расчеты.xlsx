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e2fd3909e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c9359743e6d444fc"/>
    <x:sheet xmlns:r="http://schemas.openxmlformats.org/officeDocument/2006/relationships" name="СИСТЕМА_1" sheetId="2" r:id="R15b5ca203ca746b5"/>
    <x:sheet xmlns:r="http://schemas.openxmlformats.org/officeDocument/2006/relationships" name="Матрица_Q1" sheetId="3" r:id="Rd3cf647fe5c94a9b"/>
    <x:sheet xmlns:r="http://schemas.openxmlformats.org/officeDocument/2006/relationships" name="СИСТЕМА_2" sheetId="4" r:id="R32538e9b04254f78"/>
    <x:sheet xmlns:r="http://schemas.openxmlformats.org/officeDocument/2006/relationships" name="Матрица_Q2" sheetId="5" r:id="R7f94d33ab3144385"/>
    <x:sheet xmlns:r="http://schemas.openxmlformats.org/officeDocument/2006/relationships" name="Сравнение" sheetId="6" r:id="R445635b2a37c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00000000"/>
  </x:numFmts>
  <x:fonts count="7">
    <x:font>
      <x:sz val="11"/>
      <x:name val="Carlito"/>
    </x:font>
    <x:font>
      <x:b/>
      <x:sz val="14"/>
      <x:color rgb="FF000000"/>
      <x:name val="Arial"/>
    </x:font>
    <x:font>
      <x:i/>
      <x:sz val="9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1"/>
      <x:name val="Arial"/>
    </x:font>
    <x:font>
      <x:i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>
      <x:left/>
      <x:right/>
      <x:top/>
      <x:bottom/>
      <x:diagonal/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76bacaa8447ad" /><Relationship Type="http://schemas.openxmlformats.org/officeDocument/2006/relationships/theme" Target="/xl/theme/theme1.xml" Id="Ra9b570004f98441f" /><Relationship Type="http://schemas.openxmlformats.org/officeDocument/2006/relationships/sharedStrings" Target="/xl/sharedStrings.xml" Id="R106364d2396f41ea" /><Relationship Type="http://schemas.openxmlformats.org/officeDocument/2006/relationships/worksheet" Target="/xl/worksheets/sheet1.xml" Id="Rc9359743e6d444fc" /><Relationship Type="http://schemas.openxmlformats.org/officeDocument/2006/relationships/worksheet" Target="/xl/worksheets/sheet2.xml" Id="R15b5ca203ca746b5" /><Relationship Type="http://schemas.openxmlformats.org/officeDocument/2006/relationships/worksheet" Target="/xl/worksheets/sheet3.xml" Id="Rd3cf647fe5c94a9b" /><Relationship Type="http://schemas.openxmlformats.org/officeDocument/2006/relationships/worksheet" Target="/xl/worksheets/sheet4.xml" Id="R32538e9b04254f78" /><Relationship Type="http://schemas.openxmlformats.org/officeDocument/2006/relationships/worksheet" Target="/xl/worksheets/sheet5.xml" Id="R7f94d33ab3144385" /><Relationship Type="http://schemas.openxmlformats.org/officeDocument/2006/relationships/worksheet" Target="/xl/worksheets/sheet6.xml" Id="R445635b2a37c4e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ed9b0a0bd64d66" /><Relationship Type="http://schemas.openxmlformats.org/officeDocument/2006/relationships/chart" Target="/xl/drawings/charts/chart2.xml" Id="Rd4d2125b1a034a11" /><Relationship Type="http://schemas.openxmlformats.org/officeDocument/2006/relationships/chart" Target="/xl/drawings/charts/chart3.xml" Id="R7e7ed87ea10247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Производительность при изменении λ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λ' СИСТЕМА_1</c:v>
          </c:tx>
          <c:marker>
            <c:symbol val="none"/>
          </c:marker>
          <c:cat>
            <c:strRef>
              <c:f>'Сравнение'!$A$16:$A$35</c:f>
              <c:strCache>
                <c:ptCount val="0"/>
              </c:strCache>
            </c:strRef>
          </c:cat>
          <c:val>
            <c:numRef>
              <c:f>'Сравнение'!$B$16:$B$35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λ' СИСТЕМА_2</c:v>
          </c:tx>
          <c:marker>
            <c:symbol val="none"/>
          </c:marker>
          <c:cat>
            <c:strRef>
              <c:f>'Сравнение'!$A$16:$A$35</c:f>
              <c:strCache>
                <c:ptCount val="0"/>
              </c:strCache>
            </c:strRef>
          </c:cat>
          <c:val>
            <c:numRef>
              <c:f>'Сравнение'!$C$16:$C$35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Вероятность потери при изменении λ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π СИСТЕМА_1</c:v>
          </c:tx>
          <c:marker>
            <c:symbol val="none"/>
          </c:marker>
          <c:cat>
            <c:strRef>
              <c:f>'Сравнение'!$A$16:$A$35</c:f>
              <c:strCache>
                <c:ptCount val="0"/>
              </c:strCache>
            </c:strRef>
          </c:cat>
          <c:val>
            <c:numRef>
              <c:f>'Сравнение'!$D$16:$D$35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π СИСТЕМА_2</c:v>
          </c:tx>
          <c:marker>
            <c:symbol val="none"/>
          </c:marker>
          <c:cat>
            <c:strRef>
              <c:f>'Сравнение'!$A$16:$A$35</c:f>
              <c:strCache>
                <c:ptCount val="0"/>
              </c:strCache>
            </c:strRef>
          </c:cat>
          <c:val>
            <c:numRef>
              <c:f>'Сравнение'!$E$16:$E$35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Время пребывания при изменении λ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 СИСТЕМА_1, с</c:v>
          </c:tx>
          <c:marker>
            <c:symbol val="none"/>
          </c:marker>
          <c:cat>
            <c:strRef>
              <c:f>'Сравнение'!$A$16:$A$35</c:f>
              <c:strCache>
                <c:ptCount val="0"/>
              </c:strCache>
            </c:strRef>
          </c:cat>
          <c:val>
            <c:numRef>
              <c:f>'Сравнение'!$F$16:$F$35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u СИСТЕМА_2, с</c:v>
          </c:tx>
          <c:marker>
            <c:symbol val="none"/>
          </c:marker>
          <c:cat>
            <c:strRef>
              <c:f>'Сравнение'!$A$16:$A$35</c:f>
              <c:strCache>
                <c:ptCount val="0"/>
              </c:strCache>
            </c:strRef>
          </c:cat>
          <c:val>
            <c:numRef>
              <c:f>'Сравнение'!$G$16:$G$35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ed9b0a0bd64d66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d2125b1a034a11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7ed87ea10247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69545c195674f7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9" hidden="0" customWidth="1"/>
    <x:col min="2" max="2" width="78" hidden="0" customWidth="1"/>
  </x:cols>
  <x:sheetData>
    <x:row r="1" ht="24" customHeight="1">
      <x:c r="A1" s="22" t="str">
        <x:v>УИР 2. Исходные данные, вариант 16/16/13</x:v>
      </x:c>
      <x:c r="B1" s="23"/>
    </x:row>
    <x:row r="2">
      <x:c r="A2" s="24" t="str">
        <x:v>Источник: методичка УИР 2 «Марковские модели систем массового обслуживания», таблицы 1 и 2.</x:v>
      </x:c>
      <x:c r="B2" s="23"/>
    </x:row>
    <x:row r="3">
      <x:c r="A3" s="23"/>
      <x:c r="B3" s="23"/>
    </x:row>
    <x:row r="4">
      <x:c r="A4" s="8" t="str">
        <x:v>Параметр</x:v>
      </x:c>
      <x:c r="B4" s="8" t="str">
        <x:v>Значение</x:v>
      </x:c>
    </x:row>
    <x:row r="5">
      <x:c r="A5" s="18" t="str">
        <x:v>Вариант N1/N2/NG</x:v>
      </x:c>
      <x:c r="B5" s="18" t="str">
        <x:v>16/16/13</x:v>
      </x:c>
    </x:row>
    <x:row r="6">
      <x:c r="A6" s="18" t="str">
        <x:v>Группа</x:v>
      </x:c>
      <x:c r="B6" s="18" t="str">
        <x:v>P3313</x:v>
      </x:c>
    </x:row>
    <x:row r="7">
      <x:c r="A7" s="18" t="str">
        <x:v>Интенсивность λ, 1/с</x:v>
      </x:c>
      <x:c r="B7" s="19" t="n">
        <x:v>0.8</x:v>
      </x:c>
    </x:row>
    <x:row r="8">
      <x:c r="A8" s="18" t="str">
        <x:v>Средняя длительность b, с</x:v>
      </x:c>
      <x:c r="B8" s="19" t="n">
        <x:v>5</x:v>
      </x:c>
    </x:row>
    <x:row r="9">
      <x:c r="A9" s="18" t="str">
        <x:v>Интенсивность μ, 1/с</x:v>
      </x:c>
      <x:c r="B9" s="19" t="n">
        <x:f>1/B8</x:f>
        <x:v>0.2</x:v>
      </x:c>
    </x:row>
    <x:row r="10">
      <x:c r="A10" s="18" t="str">
        <x:v>СИСТЕМА_1: вероятность П1</x:v>
      </x:c>
      <x:c r="B10" s="19" t="n">
        <x:v>0.3</x:v>
      </x:c>
    </x:row>
    <x:row r="11">
      <x:c r="A11" s="18" t="str">
        <x:v>СИСТЕМА_1: вероятность П2</x:v>
      </x:c>
      <x:c r="B11" s="19" t="n">
        <x:v>0.45</x:v>
      </x:c>
    </x:row>
    <x:row r="12">
      <x:c r="A12" s="18" t="str">
        <x:v>СИСТЕМА_1: вероятность П3</x:v>
      </x:c>
      <x:c r="B12" s="19" t="n">
        <x:v>0.25</x:v>
      </x:c>
    </x:row>
    <x:row r="13">
      <x:c r="A13" s="18" t="str">
        <x:v>СИСТЕМА_2: вероятность П1</x:v>
      </x:c>
      <x:c r="B13" s="19" t="n">
        <x:v>0.3</x:v>
      </x:c>
    </x:row>
    <x:row r="14">
      <x:c r="A14" s="18" t="str">
        <x:v>СИСТЕМА_2: вероятность П2</x:v>
      </x:c>
      <x:c r="B14" s="19" t="n">
        <x:f>B11+B12</x:f>
        <x:v>0.7</x:v>
      </x:c>
    </x:row>
    <x:row r="15">
      <x:c r="A15" s="18" t="str">
        <x:v>Коэффициент вариации H2</x:v>
      </x:c>
      <x:c r="B15" s="19" t="n">
        <x:v>2.5</x:v>
      </x:c>
    </x:row>
    <x:row r="16">
      <x:c r="A16" s="18" t="str">
        <x:v>Вероятность медленной фазы q</x:v>
      </x:c>
      <x:c r="B16" s="19" t="n">
        <x:f>(1-SQRT((B15^2-1)/(B15^2+1)))/2</x:f>
        <x:v>0.07451852830161843</x:v>
      </x:c>
    </x:row>
    <x:row r="17">
      <x:c r="A17" s="18" t="str">
        <x:v>Вероятность быстрой фазы 1-q</x:v>
      </x:c>
      <x:c r="B17" s="19" t="n">
        <x:f>1-B16</x:f>
        <x:v>0.9254814716983816</x:v>
      </x:c>
    </x:row>
    <x:row r="18">
      <x:c r="A18" s="18" t="str">
        <x:v>μ медленной фазы, 1/с</x:v>
      </x:c>
      <x:c r="B18" s="19" t="n">
        <x:f>2*B16/B8</x:f>
        <x:v>0.02980741132064737</x:v>
      </x:c>
    </x:row>
    <x:row r="19">
      <x:c r="A19" s="18" t="str">
        <x:v>μ быстрой фазы, 1/с</x:v>
      </x:c>
      <x:c r="B19" s="19" t="n">
        <x:f>2*B17/B8</x:f>
        <x:v>0.3701925886793526</x:v>
      </x:c>
    </x:row>
    <x:row r="20">
      <x:c r="A20" s="23"/>
      <x:c r="B20" s="23"/>
    </x:row>
    <x:row r="21">
      <x:c r="A21" s="22" t="str">
        <x:v>Принятые модели</x:v>
      </x:c>
      <x:c r="B21" s="23"/>
    </x:row>
    <x:row r="22">
      <x:c r="A22" s="21" t="str">
        <x:v>СИСТЕМА_1</x:v>
      </x:c>
      <x:c r="B22" s="18" t="str">
        <x:v>3 прибора; экспоненциальное обслуживание; накопители 1/1/0.</x:v>
      </x:c>
    </x:row>
    <x:row r="23">
      <x:c r="A23" s="21" t="str">
        <x:v>СИСТЕМА_2</x:v>
      </x:c>
      <x:c r="B23" s="18" t="str">
        <x:v>2 прибора; П1 — H2,5, П2 — экспоненциальный; исходные накопители 2/2.</x:v>
      </x:c>
    </x:row>
    <x:row r="24">
      <x:c r="A24" s="21" t="str">
        <x:v>Ограничение числа состояний</x:v>
      </x:c>
      <x:c r="B24" s="18" t="str">
        <x:v>Для СИСТЕМЫ_2 накопитель П1 уменьшен с 2 до 1: модель содержит ровно 20 состояний.</x:v>
      </x:c>
    </x:row>
    <x:row r="25">
      <x:c r="A25" s="21" t="str">
        <x:v>Критерий</x:v>
      </x:c>
      <x:c r="B25" s="18" t="str">
        <x:v>Максимальная производительность системы.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7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24" customHeight="1">
      <x:c r="A1" s="26" t="str">
        <x:v>СИСТЕМА_1: три экспоненциальных прибора, накопители 1/1/0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>
      <x:c r="A3" s="8" t="str">
        <x:v>№</x:v>
      </x:c>
      <x:c r="B3" s="8" t="str">
        <x:v>Состояние</x:v>
      </x:c>
      <x:c r="C3" s="8" t="str">
        <x:v>p</x:v>
      </x:c>
      <x:c r="D3" s="8" t="str">
        <x:v>n1</x:v>
      </x:c>
      <x:c r="E3" s="8" t="str">
        <x:v>n2</x:v>
      </x:c>
      <x:c r="F3" s="8" t="str">
        <x:v>n3</x:v>
      </x:c>
      <x:c r="G3" s="8" t="str">
        <x:v>l1</x:v>
      </x:c>
      <x:c r="H3" s="8" t="str">
        <x:v>l2</x:v>
      </x:c>
      <x:c r="I3" s="8" t="str">
        <x:v>l3</x:v>
      </x:c>
      <x:c r="J3" s="8" t="str">
        <x:v>Вклад w1</x:v>
      </x:c>
      <x:c r="K3" s="8" t="str">
        <x:v>Вклад w2</x:v>
      </x:c>
      <x:c r="L3" s="8" t="str">
        <x:v>Вклад w3</x:v>
      </x:c>
      <x:c r="M3" s="9"/>
      <x:c r="N3" s="8" t="str">
        <x:v>Характеристика</x:v>
      </x:c>
      <x:c r="O3" s="8" t="str">
        <x:v>П1</x:v>
      </x:c>
      <x:c r="P3" s="8" t="str">
        <x:v>П2</x:v>
      </x:c>
      <x:c r="Q3" s="8" t="str">
        <x:v>П3</x:v>
      </x:c>
      <x:c r="R3" s="8" t="str">
        <x:v>Суммарно</x:v>
      </x:c>
    </x:row>
    <x:row r="4">
      <x:c r="A4" s="11" t="n">
        <x:v>1</x:v>
      </x:c>
      <x:c r="B4" s="11" t="str">
        <x:v>(0,0,0)</x:v>
      </x:c>
      <x:c r="C4" s="12" t="n">
        <x:v>0.02274215850374783</x:v>
      </x:c>
      <x:c r="D4" s="11" t="n">
        <x:v>0</x:v>
      </x:c>
      <x:c r="E4" s="11" t="n">
        <x:v>0</x:v>
      </x:c>
      <x:c r="F4" s="11" t="n">
        <x:v>0</x:v>
      </x:c>
      <x:c r="G4" s="11" t="n">
        <x:v>0</x:v>
      </x:c>
      <x:c r="H4" s="11" t="n">
        <x:v>0</x:v>
      </x:c>
      <x:c r="I4" s="11" t="n">
        <x:v>0</x:v>
      </x:c>
      <x:c r="J4" s="12" t="n">
        <x:f>IF(D4&lt;2,C4*D4*'Исходные данные'!$B$8,0)</x:f>
        <x:v>0</x:v>
      </x:c>
      <x:c r="K4" s="12" t="n">
        <x:f>IF(E4&lt;2,C4*E4*'Исходные данные'!$B$8,0)</x:f>
        <x:v>0</x:v>
      </x:c>
      <x:c r="L4" s="12" t="n">
        <x:f>IF(F4&lt;1,C4*F4*'Исходные данные'!$B$8,0)</x:f>
        <x:v>0</x:v>
      </x:c>
      <x:c r="M4" s="9"/>
      <x:c r="N4" s="11" t="str">
        <x:v>Нагрузка</x:v>
      </x:c>
      <x:c r="O4" s="12" t="n">
        <x:f>'Исходные данные'!$B$7*'Исходные данные'!$B$10*'Исходные данные'!$B$8</x:f>
        <x:v>1.2</x:v>
      </x:c>
      <x:c r="P4" s="12" t="n">
        <x:f>'Исходные данные'!$B$7*'Исходные данные'!$B$11*'Исходные данные'!$B$8</x:f>
        <x:v>1.8000000000000003</x:v>
      </x:c>
      <x:c r="Q4" s="12" t="n">
        <x:f>'Исходные данные'!$B$7*'Исходные данные'!$B$12*'Исходные данные'!$B$8</x:f>
        <x:v>1</x:v>
      </x:c>
      <x:c r="R4" s="12" t="n">
        <x:f>SUM(O4:Q4)</x:f>
        <x:v>4</x:v>
      </x:c>
    </x:row>
    <x:row r="5">
      <x:c r="A5" s="11" t="n">
        <x:v>2</x:v>
      </x:c>
      <x:c r="B5" s="11" t="str">
        <x:v>(0,0,1)</x:v>
      </x:c>
      <x:c r="C5" s="12" t="n">
        <x:v>0.02274215850374794</x:v>
      </x:c>
      <x:c r="D5" s="11" t="n">
        <x:v>0</x:v>
      </x:c>
      <x:c r="E5" s="11" t="n">
        <x:v>0</x:v>
      </x:c>
      <x:c r="F5" s="11" t="n">
        <x:v>1</x:v>
      </x:c>
      <x:c r="G5" s="11" t="n">
        <x:v>0</x:v>
      </x:c>
      <x:c r="H5" s="11" t="n">
        <x:v>0</x:v>
      </x:c>
      <x:c r="I5" s="11" t="n">
        <x:v>0</x:v>
      </x:c>
      <x:c r="J5" s="12" t="n">
        <x:f>IF(D5&lt;2,C5*D5*'Исходные данные'!$B$8,0)</x:f>
        <x:v>0</x:v>
      </x:c>
      <x:c r="K5" s="12" t="n">
        <x:f>IF(E5&lt;2,C5*E5*'Исходные данные'!$B$8,0)</x:f>
        <x:v>0</x:v>
      </x:c>
      <x:c r="L5" s="12" t="n">
        <x:f>IF(F5&lt;1,C5*F5*'Исходные данные'!$B$8,0)</x:f>
        <x:v>0</x:v>
      </x:c>
      <x:c r="M5" s="9"/>
      <x:c r="N5" s="11" t="str">
        <x:v>Загрузка</x:v>
      </x:c>
      <x:c r="O5" s="12" t="n">
        <x:f>SUMIFS($C$4:$C$21,$D$4:$D$21,"&gt;0")</x:f>
        <x:v>0.7252747252747251</x:v>
      </x:c>
      <x:c r="P5" s="12" t="n">
        <x:f>SUMIFS($C$4:$C$21,$E$4:$E$21,"&gt;0")</x:f>
        <x:v>0.8344370860927152</x:v>
      </x:c>
      <x:c r="Q5" s="12" t="n">
        <x:f>SUMIFS($C$4:$C$21,$F$4:$F$21,"&gt;0")</x:f>
        <x:v>0.5</x:v>
      </x:c>
      <x:c r="R5" s="12" t="n">
        <x:f>SUM(O5:Q5)</x:f>
        <x:v>2.0597118113674404</x:v>
      </x:c>
    </x:row>
    <x:row r="6">
      <x:c r="A6" s="11" t="n">
        <x:v>3</x:v>
      </x:c>
      <x:c r="B6" s="11" t="str">
        <x:v>(0,1,0)</x:v>
      </x:c>
      <x:c r="C6" s="12" t="n">
        <x:v>0.04093588530674625</x:v>
      </x:c>
      <x:c r="D6" s="11" t="n">
        <x:v>0</x:v>
      </x:c>
      <x:c r="E6" s="11" t="n">
        <x:v>1</x:v>
      </x:c>
      <x:c r="F6" s="11" t="n">
        <x:v>0</x:v>
      </x:c>
      <x:c r="G6" s="11" t="n">
        <x:v>0</x:v>
      </x:c>
      <x:c r="H6" s="11" t="n">
        <x:v>0</x:v>
      </x:c>
      <x:c r="I6" s="11" t="n">
        <x:v>0</x:v>
      </x:c>
      <x:c r="J6" s="12" t="n">
        <x:f>IF(D6&lt;2,C6*D6*'Исходные данные'!$B$8,0)</x:f>
        <x:v>0</x:v>
      </x:c>
      <x:c r="K6" s="12" t="n">
        <x:f>IF(E6&lt;2,C6*E6*'Исходные данные'!$B$8,0)</x:f>
        <x:v>0.20467942653373125</x:v>
      </x:c>
      <x:c r="L6" s="12" t="n">
        <x:f>IF(F6&lt;1,C6*F6*'Исходные данные'!$B$8,0)</x:f>
        <x:v>0</x:v>
      </x:c>
      <x:c r="M6" s="9"/>
      <x:c r="N6" s="11" t="str">
        <x:v>Длина очереди</x:v>
      </x:c>
      <x:c r="O6" s="12" t="n">
        <x:f>SUMPRODUCT($C$4:$C$21,$G$4:$G$21)</x:f>
        <x:v>0.3956043956043954</x:v>
      </x:c>
      <x:c r="P6" s="12" t="n">
        <x:f>SUMPRODUCT($C$4:$C$21,$H$4:$H$21)</x:f>
        <x:v>0.5364238410596026</x:v>
      </x:c>
      <x:c r="Q6" s="12" t="n">
        <x:f>SUMPRODUCT($C$4:$C$21,$I$4:$I$21)</x:f>
        <x:v>0</x:v>
      </x:c>
      <x:c r="R6" s="12" t="n">
        <x:f>SUM(O6:Q6)</x:f>
        <x:v>0.932028236663998</x:v>
      </x:c>
    </x:row>
    <x:row r="7">
      <x:c r="A7" s="11" t="n">
        <x:v>4</x:v>
      </x:c>
      <x:c r="B7" s="11" t="str">
        <x:v>(0,1,1)</x:v>
      </x:c>
      <x:c r="C7" s="12" t="n">
        <x:v>0.040935885306746245</x:v>
      </x:c>
      <x:c r="D7" s="11" t="n">
        <x:v>0</x:v>
      </x:c>
      <x:c r="E7" s="11" t="n">
        <x:v>1</x:v>
      </x:c>
      <x:c r="F7" s="11" t="n">
        <x:v>1</x:v>
      </x:c>
      <x:c r="G7" s="11" t="n">
        <x:v>0</x:v>
      </x:c>
      <x:c r="H7" s="11" t="n">
        <x:v>0</x:v>
      </x:c>
      <x:c r="I7" s="11" t="n">
        <x:v>0</x:v>
      </x:c>
      <x:c r="J7" s="12" t="n">
        <x:f>IF(D7&lt;2,C7*D7*'Исходные данные'!$B$8,0)</x:f>
        <x:v>0</x:v>
      </x:c>
      <x:c r="K7" s="12" t="n">
        <x:f>IF(E7&lt;2,C7*E7*'Исходные данные'!$B$8,0)</x:f>
        <x:v>0.20467942653373122</x:v>
      </x:c>
      <x:c r="L7" s="12" t="n">
        <x:f>IF(F7&lt;1,C7*F7*'Исходные данные'!$B$8,0)</x:f>
        <x:v>0</x:v>
      </x:c>
      <x:c r="M7" s="9"/>
      <x:c r="N7" s="11" t="str">
        <x:v>Число заявок</x:v>
      </x:c>
      <x:c r="O7" s="12" t="n">
        <x:f>SUMPRODUCT($C$4:$C$21,$D$4:$D$21)</x:f>
        <x:v>1.1208791208791207</x:v>
      </x:c>
      <x:c r="P7" s="12" t="n">
        <x:f>SUMPRODUCT($C$4:$C$21,$E$4:$E$21)</x:f>
        <x:v>1.3708609271523178</x:v>
      </x:c>
      <x:c r="Q7" s="12" t="n">
        <x:f>SUMPRODUCT($C$4:$C$21,$F$4:$F$21)</x:f>
        <x:v>0.5</x:v>
      </x:c>
      <x:c r="R7" s="12" t="n">
        <x:f>SUM(O7:Q7)</x:f>
        <x:v>2.9917400480314384</x:v>
      </x:c>
    </x:row>
    <x:row r="8">
      <x:c r="A8" s="11" t="n">
        <x:v>5</x:v>
      </x:c>
      <x:c r="B8" s="11" t="str">
        <x:v>(0,2,0)</x:v>
      </x:c>
      <x:c r="C8" s="12" t="n">
        <x:v>0.07368459355214324</x:v>
      </x:c>
      <x:c r="D8" s="11" t="n">
        <x:v>0</x:v>
      </x:c>
      <x:c r="E8" s="11" t="n">
        <x:v>2</x:v>
      </x:c>
      <x:c r="F8" s="11" t="n">
        <x:v>0</x:v>
      </x:c>
      <x:c r="G8" s="11" t="n">
        <x:v>0</x:v>
      </x:c>
      <x:c r="H8" s="11" t="n">
        <x:v>1</x:v>
      </x:c>
      <x:c r="I8" s="11" t="n">
        <x:v>0</x:v>
      </x:c>
      <x:c r="J8" s="12" t="n">
        <x:f>IF(D8&lt;2,C8*D8*'Исходные данные'!$B$8,0)</x:f>
        <x:v>0</x:v>
      </x:c>
      <x:c r="K8" s="12" t="n">
        <x:f>IF(E8&lt;2,C8*E8*'Исходные данные'!$B$8,0)</x:f>
        <x:v>0</x:v>
      </x:c>
      <x:c r="L8" s="12" t="n">
        <x:f>IF(F8&lt;1,C8*F8*'Исходные данные'!$B$8,0)</x:f>
        <x:v>0</x:v>
      </x:c>
      <x:c r="M8" s="9"/>
      <x:c r="N8" s="11" t="str">
        <x:v>Время ожидания, с</x:v>
      </x:c>
      <x:c r="O8" s="12" t="n">
        <x:f>SUM($J$4:$J$21)/(1-O10)</x:f>
        <x:v>2.727272727272727</x:v>
      </x:c>
      <x:c r="P8" s="12" t="n">
        <x:f>SUM($K$4:$K$21)/(1-P10)</x:f>
        <x:v>3.214285714285714</x:v>
      </x:c>
      <x:c r="Q8" s="12" t="n">
        <x:f>SUM($L$4:$L$21)/(1-Q10)</x:f>
        <x:v>0</x:v>
      </x:c>
      <x:c r="R8" s="12" t="n">
        <x:f>SUMPRODUCT(O11:Q11,O8:Q8)/R11</x:f>
        <x:v>2.262520978712128</x:v>
      </x:c>
    </x:row>
    <x:row r="9">
      <x:c r="A9" s="11" t="n">
        <x:v>6</x:v>
      </x:c>
      <x:c r="B9" s="11" t="str">
        <x:v>(0,2,1)</x:v>
      </x:c>
      <x:c r="C9" s="12" t="n">
        <x:v>0.07368459355214321</x:v>
      </x:c>
      <x:c r="D9" s="11" t="n">
        <x:v>0</x:v>
      </x:c>
      <x:c r="E9" s="11" t="n">
        <x:v>2</x:v>
      </x:c>
      <x:c r="F9" s="11" t="n">
        <x:v>1</x:v>
      </x:c>
      <x:c r="G9" s="11" t="n">
        <x:v>0</x:v>
      </x:c>
      <x:c r="H9" s="11" t="n">
        <x:v>1</x:v>
      </x:c>
      <x:c r="I9" s="11" t="n">
        <x:v>0</x:v>
      </x:c>
      <x:c r="J9" s="12" t="n">
        <x:f>IF(D9&lt;2,C9*D9*'Исходные данные'!$B$8,0)</x:f>
        <x:v>0</x:v>
      </x:c>
      <x:c r="K9" s="12" t="n">
        <x:f>IF(E9&lt;2,C9*E9*'Исходные данные'!$B$8,0)</x:f>
        <x:v>0</x:v>
      </x:c>
      <x:c r="L9" s="12" t="n">
        <x:f>IF(F9&lt;1,C9*F9*'Исходные данные'!$B$8,0)</x:f>
        <x:v>0</x:v>
      </x:c>
      <x:c r="M9" s="9"/>
      <x:c r="N9" s="11" t="str">
        <x:v>Время пребывания, с</x:v>
      </x:c>
      <x:c r="O9" s="12" t="n">
        <x:f>O8+'Исходные данные'!$B$8</x:f>
        <x:v>7.727272727272727</x:v>
      </x:c>
      <x:c r="P9" s="12" t="n">
        <x:f>P8+'Исходные данные'!$B$8</x:f>
        <x:v>8.214285714285714</x:v>
      </x:c>
      <x:c r="Q9" s="12" t="n">
        <x:f>Q8+'Исходные данные'!$B$8</x:f>
        <x:v>5</x:v>
      </x:c>
      <x:c r="R9" s="12" t="n">
        <x:f>SUMPRODUCT(O11:Q11,O9:Q9)/R11</x:f>
        <x:v>7.2625209787121285</x:v>
      </x:c>
    </x:row>
    <x:row r="10">
      <x:c r="A10" s="11" t="n">
        <x:v>7</x:v>
      </x:c>
      <x:c r="B10" s="11" t="str">
        <x:v>(1,0,0)</x:v>
      </x:c>
      <x:c r="C10" s="12" t="n">
        <x:v>0.0272905902044975</x:v>
      </x:c>
      <x:c r="D10" s="11" t="n">
        <x:v>1</x:v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2" t="n">
        <x:f>IF(D10&lt;2,C10*D10*'Исходные данные'!$B$8,0)</x:f>
        <x:v>0.1364529510224875</x:v>
      </x:c>
      <x:c r="K10" s="12" t="n">
        <x:f>IF(E10&lt;2,C10*E10*'Исходные данные'!$B$8,0)</x:f>
        <x:v>0</x:v>
      </x:c>
      <x:c r="L10" s="12" t="n">
        <x:f>IF(F10&lt;1,C10*F10*'Исходные данные'!$B$8,0)</x:f>
        <x:v>0</x:v>
      </x:c>
      <x:c r="M10" s="9"/>
      <x:c r="N10" s="11" t="str">
        <x:v>Вероятность потери</x:v>
      </x:c>
      <x:c r="O10" s="12" t="n">
        <x:f>SUMIFS($C$4:$C$21,$D$4:$D$21,2)</x:f>
        <x:v>0.3956043956043954</x:v>
      </x:c>
      <x:c r="P10" s="12" t="n">
        <x:f>SUMIFS($C$4:$C$21,$E$4:$E$21,2)</x:f>
        <x:v>0.5364238410596026</x:v>
      </x:c>
      <x:c r="Q10" s="12" t="n">
        <x:f>SUMIFS($C$4:$C$21,$F$4:$F$21,1)</x:f>
        <x:v>0.5</x:v>
      </x:c>
      <x:c r="R10" s="12" t="n">
        <x:f>1-R11/'Исходные данные'!$B$7</x:f>
        <x:v>0.4850720471581399</x:v>
      </x:c>
    </x:row>
    <x:row r="11">
      <x:c r="A11" s="11" t="n">
        <x:v>8</x:v>
      </x:c>
      <x:c r="B11" s="11" t="str">
        <x:v>(1,0,1)</x:v>
      </x:c>
      <x:c r="C11" s="12" t="n">
        <x:v>0.0272905902044975</x:v>
      </x:c>
      <x:c r="D11" s="11" t="n">
        <x:v>1</x:v>
      </x:c>
      <x:c r="E11" s="11" t="n">
        <x:v>0</x:v>
      </x:c>
      <x:c r="F11" s="11" t="n">
        <x:v>1</x:v>
      </x:c>
      <x:c r="G11" s="11" t="n">
        <x:v>0</x:v>
      </x:c>
      <x:c r="H11" s="11" t="n">
        <x:v>0</x:v>
      </x:c>
      <x:c r="I11" s="11" t="n">
        <x:v>0</x:v>
      </x:c>
      <x:c r="J11" s="12" t="n">
        <x:f>IF(D11&lt;2,C11*D11*'Исходные данные'!$B$8,0)</x:f>
        <x:v>0.1364529510224875</x:v>
      </x:c>
      <x:c r="K11" s="12" t="n">
        <x:f>IF(E11&lt;2,C11*E11*'Исходные данные'!$B$8,0)</x:f>
        <x:v>0</x:v>
      </x:c>
      <x:c r="L11" s="12" t="n">
        <x:f>IF(F11&lt;1,C11*F11*'Исходные данные'!$B$8,0)</x:f>
        <x:v>0</x:v>
      </x:c>
      <x:c r="M11" s="9"/>
      <x:c r="N11" s="11" t="str">
        <x:v>Производительность, 1/с</x:v>
      </x:c>
      <x:c r="O11" s="12" t="n">
        <x:f>'Исходные данные'!$B$7*'Исходные данные'!$B$10*(1-O10)</x:f>
        <x:v>0.1450549450549451</x:v>
      </x:c>
      <x:c r="P11" s="12" t="n">
        <x:f>'Исходные данные'!$B$7*'Исходные данные'!$B$11*(1-P10)</x:f>
        <x:v>0.16688741721854308</x:v>
      </x:c>
      <x:c r="Q11" s="12" t="n">
        <x:f>'Исходные данные'!$B$7*'Исходные данные'!$B$12*(1-Q10)</x:f>
        <x:v>0.1</x:v>
      </x:c>
      <x:c r="R11" s="12" t="n">
        <x:f>SUM(O11:Q11)</x:f>
        <x:v>0.4119423622734881</x:v>
      </x:c>
    </x:row>
    <x:row r="12">
      <x:c r="A12" s="11" t="n">
        <x:v>9</x:v>
      </x:c>
      <x:c r="B12" s="11" t="str">
        <x:v>(1,1,0)</x:v>
      </x:c>
      <x:c r="C12" s="12" t="n">
        <x:v>0.04912306236809549</x:v>
      </x:c>
      <x:c r="D12" s="11" t="n">
        <x:v>1</x:v>
      </x:c>
      <x:c r="E12" s="11" t="n">
        <x:v>1</x:v>
      </x:c>
      <x:c r="F12" s="11" t="n">
        <x:v>0</x:v>
      </x:c>
      <x:c r="G12" s="11" t="n">
        <x:v>0</x:v>
      </x:c>
      <x:c r="H12" s="11" t="n">
        <x:v>0</x:v>
      </x:c>
      <x:c r="I12" s="11" t="n">
        <x:v>0</x:v>
      </x:c>
      <x:c r="J12" s="12" t="n">
        <x:f>IF(D12&lt;2,C12*D12*'Исходные данные'!$B$8,0)</x:f>
        <x:v>0.24561531184047744</x:v>
      </x:c>
      <x:c r="K12" s="12" t="n">
        <x:f>IF(E12&lt;2,C12*E12*'Исходные данные'!$B$8,0)</x:f>
        <x:v>0.24561531184047744</x:v>
      </x:c>
      <x:c r="L12" s="12" t="n">
        <x:f>IF(F12&lt;1,C12*F12*'Исходные данные'!$B$8,0)</x:f>
        <x:v>0</x:v>
      </x:c>
      <x:c r="M12" s="9"/>
      <x:c r="N12" s="9"/>
      <x:c r="O12" s="9"/>
      <x:c r="P12" s="9"/>
      <x:c r="Q12" s="9"/>
      <x:c r="R12" s="9"/>
    </x:row>
    <x:row r="13">
      <x:c r="A13" s="11" t="n">
        <x:v>10</x:v>
      </x:c>
      <x:c r="B13" s="11" t="str">
        <x:v>(1,1,1)</x:v>
      </x:c>
      <x:c r="C13" s="12" t="n">
        <x:v>0.04912306236809549</x:v>
      </x:c>
      <x:c r="D13" s="11" t="n">
        <x:v>1</x:v>
      </x:c>
      <x:c r="E13" s="11" t="n">
        <x:v>1</x:v>
      </x:c>
      <x:c r="F13" s="11" t="n">
        <x:v>1</x:v>
      </x:c>
      <x:c r="G13" s="11" t="n">
        <x:v>0</x:v>
      </x:c>
      <x:c r="H13" s="11" t="n">
        <x:v>0</x:v>
      </x:c>
      <x:c r="I13" s="11" t="n">
        <x:v>0</x:v>
      </x:c>
      <x:c r="J13" s="12" t="n">
        <x:f>IF(D13&lt;2,C13*D13*'Исходные данные'!$B$8,0)</x:f>
        <x:v>0.24561531184047744</x:v>
      </x:c>
      <x:c r="K13" s="12" t="n">
        <x:f>IF(E13&lt;2,C13*E13*'Исходные данные'!$B$8,0)</x:f>
        <x:v>0.24561531184047744</x:v>
      </x:c>
      <x:c r="L13" s="12" t="n">
        <x:f>IF(F13&lt;1,C13*F13*'Исходные данные'!$B$8,0)</x:f>
        <x:v>0</x:v>
      </x:c>
      <x:c r="M13" s="9"/>
      <x:c r="N13" s="8" t="str">
        <x:v>Проверка</x:v>
      </x:c>
      <x:c r="O13" s="8" t="str">
        <x:v>Значение</x:v>
      </x:c>
      <x:c r="P13" s="9"/>
      <x:c r="Q13" s="9"/>
      <x:c r="R13" s="9"/>
    </x:row>
    <x:row r="14">
      <x:c r="A14" s="11" t="n">
        <x:v>11</x:v>
      </x:c>
      <x:c r="B14" s="11" t="str">
        <x:v>(1,2,0)</x:v>
      </x:c>
      <x:c r="C14" s="12" t="n">
        <x:v>0.08842151226257186</x:v>
      </x:c>
      <x:c r="D14" s="11" t="n">
        <x:v>1</x:v>
      </x:c>
      <x:c r="E14" s="11" t="n">
        <x:v>2</x:v>
      </x:c>
      <x:c r="F14" s="11" t="n">
        <x:v>0</x:v>
      </x:c>
      <x:c r="G14" s="11" t="n">
        <x:v>0</x:v>
      </x:c>
      <x:c r="H14" s="11" t="n">
        <x:v>1</x:v>
      </x:c>
      <x:c r="I14" s="11" t="n">
        <x:v>0</x:v>
      </x:c>
      <x:c r="J14" s="12" t="n">
        <x:f>IF(D14&lt;2,C14*D14*'Исходные данные'!$B$8,0)</x:f>
        <x:v>0.44210756131285933</x:v>
      </x:c>
      <x:c r="K14" s="12" t="n">
        <x:f>IF(E14&lt;2,C14*E14*'Исходные данные'!$B$8,0)</x:f>
        <x:v>0</x:v>
      </x:c>
      <x:c r="L14" s="12" t="n">
        <x:f>IF(F14&lt;1,C14*F14*'Исходные данные'!$B$8,0)</x:f>
        <x:v>0</x:v>
      </x:c>
      <x:c r="M14" s="9"/>
      <x:c r="N14" s="11" t="str">
        <x:v>Сумма вероятностей</x:v>
      </x:c>
      <x:c r="O14" s="25" t="n">
        <x:f>SUM(C4:C21)</x:f>
        <x:v>1</x:v>
      </x:c>
      <x:c r="P14" s="9"/>
      <x:c r="Q14" s="9"/>
      <x:c r="R14" s="9"/>
    </x:row>
    <x:row r="15">
      <x:c r="A15" s="11" t="n">
        <x:v>12</x:v>
      </x:c>
      <x:c r="B15" s="11" t="str">
        <x:v>(1,2,1)</x:v>
      </x:c>
      <x:c r="C15" s="12" t="n">
        <x:v>0.08842151226257187</x:v>
      </x:c>
      <x:c r="D15" s="11" t="n">
        <x:v>1</x:v>
      </x:c>
      <x:c r="E15" s="11" t="n">
        <x:v>2</x:v>
      </x:c>
      <x:c r="F15" s="11" t="n">
        <x:v>1</x:v>
      </x:c>
      <x:c r="G15" s="11" t="n">
        <x:v>0</x:v>
      </x:c>
      <x:c r="H15" s="11" t="n">
        <x:v>1</x:v>
      </x:c>
      <x:c r="I15" s="11" t="n">
        <x:v>0</x:v>
      </x:c>
      <x:c r="J15" s="12" t="n">
        <x:f>IF(D15&lt;2,C15*D15*'Исходные данные'!$B$8,0)</x:f>
        <x:v>0.4421075613128594</x:v>
      </x:c>
      <x:c r="K15" s="12" t="n">
        <x:f>IF(E15&lt;2,C15*E15*'Исходные данные'!$B$8,0)</x:f>
        <x:v>0</x:v>
      </x:c>
      <x:c r="L15" s="12" t="n">
        <x:f>IF(F15&lt;1,C15*F15*'Исходные данные'!$B$8,0)</x:f>
        <x:v>0</x:v>
      </x:c>
      <x:c r="M15" s="9"/>
      <x:c r="N15" s="11" t="str">
        <x:v>Невязка уравнений pQ</x:v>
      </x:c>
      <x:c r="O15" s="25" t="n">
        <x:v>7.420220649261841e-17</x:v>
      </x:c>
      <x:c r="P15" s="9"/>
      <x:c r="Q15" s="9"/>
      <x:c r="R15" s="9"/>
    </x:row>
    <x:row r="16">
      <x:c r="A16" s="11" t="n">
        <x:v>13</x:v>
      </x:c>
      <x:c r="B16" s="11" t="str">
        <x:v>(2,0,0)</x:v>
      </x:c>
      <x:c r="C16" s="12" t="n">
        <x:v>0.03274870824539699</x:v>
      </x:c>
      <x:c r="D16" s="11" t="n">
        <x:v>2</x:v>
      </x:c>
      <x:c r="E16" s="11" t="n">
        <x:v>0</x:v>
      </x:c>
      <x:c r="F16" s="11" t="n">
        <x:v>0</x:v>
      </x:c>
      <x:c r="G16" s="11" t="n">
        <x:v>1</x:v>
      </x:c>
      <x:c r="H16" s="11" t="n">
        <x:v>0</x:v>
      </x:c>
      <x:c r="I16" s="11" t="n">
        <x:v>0</x:v>
      </x:c>
      <x:c r="J16" s="12" t="n">
        <x:f>IF(D16&lt;2,C16*D16*'Исходные данные'!$B$8,0)</x:f>
        <x:v>0</x:v>
      </x:c>
      <x:c r="K16" s="12" t="n">
        <x:f>IF(E16&lt;2,C16*E16*'Исходные данные'!$B$8,0)</x:f>
        <x:v>0</x:v>
      </x:c>
      <x:c r="L16" s="12" t="n">
        <x:f>IF(F16&lt;1,C16*F16*'Исходные данные'!$B$8,0)</x:f>
        <x:v>0</x:v>
      </x:c>
      <x:c r="M16" s="9"/>
      <x:c r="N16" s="9"/>
      <x:c r="O16" s="9"/>
      <x:c r="P16" s="9"/>
      <x:c r="Q16" s="9"/>
      <x:c r="R16" s="9"/>
    </x:row>
    <x:row r="17">
      <x:c r="A17" s="11" t="n">
        <x:v>14</x:v>
      </x:c>
      <x:c r="B17" s="11" t="str">
        <x:v>(2,0,1)</x:v>
      </x:c>
      <x:c r="C17" s="12" t="n">
        <x:v>0.032748708245396975</x:v>
      </x:c>
      <x:c r="D17" s="11" t="n">
        <x:v>2</x:v>
      </x:c>
      <x:c r="E17" s="11" t="n">
        <x:v>0</x:v>
      </x:c>
      <x:c r="F17" s="11" t="n">
        <x:v>1</x:v>
      </x:c>
      <x:c r="G17" s="11" t="n">
        <x:v>1</x:v>
      </x:c>
      <x:c r="H17" s="11" t="n">
        <x:v>0</x:v>
      </x:c>
      <x:c r="I17" s="11" t="n">
        <x:v>0</x:v>
      </x:c>
      <x:c r="J17" s="12" t="n">
        <x:f>IF(D17&lt;2,C17*D17*'Исходные данные'!$B$8,0)</x:f>
        <x:v>0</x:v>
      </x:c>
      <x:c r="K17" s="12" t="n">
        <x:f>IF(E17&lt;2,C17*E17*'Исходные данные'!$B$8,0)</x:f>
        <x:v>0</x:v>
      </x:c>
      <x:c r="L17" s="12" t="n">
        <x:f>IF(F17&lt;1,C17*F17*'Исходные данные'!$B$8,0)</x:f>
        <x:v>0</x:v>
      </x:c>
      <x:c r="M17" s="9"/>
      <x:c r="N17" s="9"/>
      <x:c r="O17" s="9"/>
      <x:c r="P17" s="9"/>
      <x:c r="Q17" s="9"/>
      <x:c r="R17" s="9"/>
    </x:row>
    <x:row r="18">
      <x:c r="A18" s="11" t="n">
        <x:v>15</x:v>
      </x:c>
      <x:c r="B18" s="11" t="str">
        <x:v>(2,1,0)</x:v>
      </x:c>
      <x:c r="C18" s="12" t="n">
        <x:v>0.05894767484171456</x:v>
      </x:c>
      <x:c r="D18" s="11" t="n">
        <x:v>2</x:v>
      </x:c>
      <x:c r="E18" s="11" t="n">
        <x:v>1</x:v>
      </x:c>
      <x:c r="F18" s="11" t="n">
        <x:v>0</x:v>
      </x:c>
      <x:c r="G18" s="11" t="n">
        <x:v>1</x:v>
      </x:c>
      <x:c r="H18" s="11" t="n">
        <x:v>0</x:v>
      </x:c>
      <x:c r="I18" s="11" t="n">
        <x:v>0</x:v>
      </x:c>
      <x:c r="J18" s="12" t="n">
        <x:f>IF(D18&lt;2,C18*D18*'Исходные данные'!$B$8,0)</x:f>
        <x:v>0</x:v>
      </x:c>
      <x:c r="K18" s="12" t="n">
        <x:f>IF(E18&lt;2,C18*E18*'Исходные данные'!$B$8,0)</x:f>
        <x:v>0.2947383742085728</x:v>
      </x:c>
      <x:c r="L18" s="12" t="n">
        <x:f>IF(F18&lt;1,C18*F18*'Исходные данные'!$B$8,0)</x:f>
        <x:v>0</x:v>
      </x:c>
      <x:c r="M18" s="9"/>
      <x:c r="N18" s="9"/>
      <x:c r="O18" s="9"/>
      <x:c r="P18" s="9"/>
      <x:c r="Q18" s="9"/>
      <x:c r="R18" s="9"/>
    </x:row>
    <x:row r="19">
      <x:c r="A19" s="11" t="n">
        <x:v>16</x:v>
      </x:c>
      <x:c r="B19" s="11" t="str">
        <x:v>(2,1,1)</x:v>
      </x:c>
      <x:c r="C19" s="12" t="n">
        <x:v>0.058947674841714544</x:v>
      </x:c>
      <x:c r="D19" s="11" t="n">
        <x:v>2</x:v>
      </x:c>
      <x:c r="E19" s="11" t="n">
        <x:v>1</x:v>
      </x:c>
      <x:c r="F19" s="11" t="n">
        <x:v>1</x:v>
      </x:c>
      <x:c r="G19" s="11" t="n">
        <x:v>1</x:v>
      </x:c>
      <x:c r="H19" s="11" t="n">
        <x:v>0</x:v>
      </x:c>
      <x:c r="I19" s="11" t="n">
        <x:v>0</x:v>
      </x:c>
      <x:c r="J19" s="12" t="n">
        <x:f>IF(D19&lt;2,C19*D19*'Исходные данные'!$B$8,0)</x:f>
        <x:v>0</x:v>
      </x:c>
      <x:c r="K19" s="12" t="n">
        <x:f>IF(E19&lt;2,C19*E19*'Исходные данные'!$B$8,0)</x:f>
        <x:v>0.29473837420857274</x:v>
      </x:c>
      <x:c r="L19" s="12" t="n">
        <x:f>IF(F19&lt;1,C19*F19*'Исходные данные'!$B$8,0)</x:f>
        <x:v>0</x:v>
      </x:c>
      <x:c r="M19" s="9"/>
      <x:c r="N19" s="9"/>
      <x:c r="O19" s="9"/>
      <x:c r="P19" s="9"/>
      <x:c r="Q19" s="9"/>
      <x:c r="R19" s="9"/>
    </x:row>
    <x:row r="20">
      <x:c r="A20" s="11" t="n">
        <x:v>17</x:v>
      </x:c>
      <x:c r="B20" s="11" t="str">
        <x:v>(2,2,0)</x:v>
      </x:c>
      <x:c r="C20" s="12" t="n">
        <x:v>0.10610581471508619</x:v>
      </x:c>
      <x:c r="D20" s="11" t="n">
        <x:v>2</x:v>
      </x:c>
      <x:c r="E20" s="11" t="n">
        <x:v>2</x:v>
      </x:c>
      <x:c r="F20" s="11" t="n">
        <x:v>0</x:v>
      </x:c>
      <x:c r="G20" s="11" t="n">
        <x:v>1</x:v>
      </x:c>
      <x:c r="H20" s="11" t="n">
        <x:v>1</x:v>
      </x:c>
      <x:c r="I20" s="11" t="n">
        <x:v>0</x:v>
      </x:c>
      <x:c r="J20" s="12" t="n">
        <x:f>IF(D20&lt;2,C20*D20*'Исходные данные'!$B$8,0)</x:f>
        <x:v>0</x:v>
      </x:c>
      <x:c r="K20" s="12" t="n">
        <x:f>IF(E20&lt;2,C20*E20*'Исходные данные'!$B$8,0)</x:f>
        <x:v>0</x:v>
      </x:c>
      <x:c r="L20" s="12" t="n">
        <x:f>IF(F20&lt;1,C20*F20*'Исходные данные'!$B$8,0)</x:f>
        <x:v>0</x:v>
      </x:c>
      <x:c r="M20" s="9"/>
      <x:c r="N20" s="9"/>
      <x:c r="O20" s="9"/>
      <x:c r="P20" s="9"/>
      <x:c r="Q20" s="9"/>
      <x:c r="R20" s="9"/>
    </x:row>
    <x:row r="21">
      <x:c r="A21" s="11" t="n">
        <x:v>18</x:v>
      </x:c>
      <x:c r="B21" s="11" t="str">
        <x:v>(2,2,1)</x:v>
      </x:c>
      <x:c r="C21" s="12" t="n">
        <x:v>0.1061058147150862</x:v>
      </x:c>
      <x:c r="D21" s="11" t="n">
        <x:v>2</x:v>
      </x:c>
      <x:c r="E21" s="11" t="n">
        <x:v>2</x:v>
      </x:c>
      <x:c r="F21" s="11" t="n">
        <x:v>1</x:v>
      </x:c>
      <x:c r="G21" s="11" t="n">
        <x:v>1</x:v>
      </x:c>
      <x:c r="H21" s="11" t="n">
        <x:v>1</x:v>
      </x:c>
      <x:c r="I21" s="11" t="n">
        <x:v>0</x:v>
      </x:c>
      <x:c r="J21" s="12" t="n">
        <x:f>IF(D21&lt;2,C21*D21*'Исходные данные'!$B$8,0)</x:f>
        <x:v>0</x:v>
      </x:c>
      <x:c r="K21" s="12" t="n">
        <x:f>IF(E21&lt;2,C21*E21*'Исходные данные'!$B$8,0)</x:f>
        <x:v>0</x:v>
      </x:c>
      <x:c r="L21" s="12" t="n">
        <x:f>IF(F21&lt;1,C21*F21*'Исходные данные'!$B$8,0)</x:f>
        <x:v>0</x:v>
      </x:c>
      <x:c r="M21" s="9"/>
      <x:c r="N21" s="9"/>
      <x:c r="O21" s="9"/>
      <x:c r="P21" s="9"/>
      <x:c r="Q21" s="9"/>
      <x:c r="R21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</x:cols>
  <x:sheetData>
    <x:row r="1" ht="24" customHeight="1">
      <x:c r="A1" s="26" t="str">
        <x:v>Матрица интенсивностей переходов Q1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3">
      <x:c r="A3" s="8" t="str">
        <x:v>Из / в</x:v>
      </x:c>
      <x:c r="B3" s="8" t="str">
        <x:v>E1</x:v>
      </x:c>
      <x:c r="C3" s="8" t="str">
        <x:v>E2</x:v>
      </x:c>
      <x:c r="D3" s="8" t="str">
        <x:v>E3</x:v>
      </x:c>
      <x:c r="E3" s="8" t="str">
        <x:v>E4</x:v>
      </x:c>
      <x:c r="F3" s="8" t="str">
        <x:v>E5</x:v>
      </x:c>
      <x:c r="G3" s="8" t="str">
        <x:v>E6</x:v>
      </x:c>
      <x:c r="H3" s="8" t="str">
        <x:v>E7</x:v>
      </x:c>
      <x:c r="I3" s="8" t="str">
        <x:v>E8</x:v>
      </x:c>
      <x:c r="J3" s="8" t="str">
        <x:v>E9</x:v>
      </x:c>
      <x:c r="K3" s="8" t="str">
        <x:v>E10</x:v>
      </x:c>
      <x:c r="L3" s="8" t="str">
        <x:v>E11</x:v>
      </x:c>
      <x:c r="M3" s="8" t="str">
        <x:v>E12</x:v>
      </x:c>
      <x:c r="N3" s="8" t="str">
        <x:v>E13</x:v>
      </x:c>
      <x:c r="O3" s="8" t="str">
        <x:v>E14</x:v>
      </x:c>
      <x:c r="P3" s="8" t="str">
        <x:v>E15</x:v>
      </x:c>
      <x:c r="Q3" s="8" t="str">
        <x:v>E16</x:v>
      </x:c>
      <x:c r="R3" s="8" t="str">
        <x:v>E17</x:v>
      </x:c>
      <x:c r="S3" s="8" t="str">
        <x:v>E18</x:v>
      </x:c>
    </x:row>
    <x:row r="4">
      <x:c r="A4" s="11" t="str">
        <x:v>E1</x:v>
      </x:c>
      <x:c r="B4" s="12" t="n">
        <x:v>-0.8</x:v>
      </x:c>
      <x:c r="C4" s="12" t="n">
        <x:v>0.2</x:v>
      </x:c>
      <x:c r="D4" s="12" t="n">
        <x:v>0.36000000000000004</x:v>
      </x:c>
      <x:c r="E4" s="12" t="n">
        <x:v>0</x:v>
      </x:c>
      <x:c r="F4" s="12" t="n">
        <x:v>0</x:v>
      </x:c>
      <x:c r="G4" s="12" t="n">
        <x:v>0</x:v>
      </x:c>
      <x:c r="H4" s="12" t="n">
        <x:v>0.24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n">
        <x:v>0</x:v>
      </x:c>
      <x:c r="P4" s="12" t="n">
        <x:v>0</x:v>
      </x:c>
      <x:c r="Q4" s="12" t="n">
        <x:v>0</x:v>
      </x:c>
      <x:c r="R4" s="12" t="n">
        <x:v>0</x:v>
      </x:c>
      <x:c r="S4" s="12" t="n">
        <x:v>0</x:v>
      </x:c>
    </x:row>
    <x:row r="5">
      <x:c r="A5" s="11" t="str">
        <x:v>E2</x:v>
      </x:c>
      <x:c r="B5" s="12" t="n">
        <x:v>0.2</x:v>
      </x:c>
      <x:c r="C5" s="12" t="n">
        <x:v>-0.8</x:v>
      </x:c>
      <x:c r="D5" s="12" t="n">
        <x:v>0</x:v>
      </x:c>
      <x:c r="E5" s="12" t="n">
        <x:v>0.36000000000000004</x:v>
      </x:c>
      <x:c r="F5" s="12" t="n">
        <x:v>0</x:v>
      </x:c>
      <x:c r="G5" s="12" t="n">
        <x:v>0</x:v>
      </x:c>
      <x:c r="H5" s="12" t="n">
        <x:v>0</x:v>
      </x:c>
      <x:c r="I5" s="12" t="n">
        <x:v>0.24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n">
        <x:v>0</x:v>
      </x:c>
      <x:c r="P5" s="12" t="n">
        <x:v>0</x:v>
      </x:c>
      <x:c r="Q5" s="12" t="n">
        <x:v>0</x:v>
      </x:c>
      <x:c r="R5" s="12" t="n">
        <x:v>0</x:v>
      </x:c>
      <x:c r="S5" s="12" t="n">
        <x:v>0</x:v>
      </x:c>
    </x:row>
    <x:row r="6">
      <x:c r="A6" s="11" t="str">
        <x:v>E3</x:v>
      </x:c>
      <x:c r="B6" s="12" t="n">
        <x:v>0.2</x:v>
      </x:c>
      <x:c r="C6" s="12" t="n">
        <x:v>0</x:v>
      </x:c>
      <x:c r="D6" s="12" t="n">
        <x:v>-1</x:v>
      </x:c>
      <x:c r="E6" s="12" t="n">
        <x:v>0.2</x:v>
      </x:c>
      <x:c r="F6" s="12" t="n">
        <x:v>0.36000000000000004</x:v>
      </x:c>
      <x:c r="G6" s="12" t="n">
        <x:v>0</x:v>
      </x:c>
      <x:c r="H6" s="12" t="n">
        <x:v>0</x:v>
      </x:c>
      <x:c r="I6" s="12" t="n">
        <x:v>0</x:v>
      </x:c>
      <x:c r="J6" s="12" t="n">
        <x:v>0.24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</x:row>
    <x:row r="7">
      <x:c r="A7" s="11" t="str">
        <x:v>E4</x:v>
      </x:c>
      <x:c r="B7" s="12" t="n">
        <x:v>0</x:v>
      </x:c>
      <x:c r="C7" s="12" t="n">
        <x:v>0.2</x:v>
      </x:c>
      <x:c r="D7" s="12" t="n">
        <x:v>0.2</x:v>
      </x:c>
      <x:c r="E7" s="12" t="n">
        <x:v>-1</x:v>
      </x:c>
      <x:c r="F7" s="12" t="n">
        <x:v>0</x:v>
      </x:c>
      <x:c r="G7" s="12" t="n">
        <x:v>0.36000000000000004</x:v>
      </x:c>
      <x:c r="H7" s="12" t="n">
        <x:v>0</x:v>
      </x:c>
      <x:c r="I7" s="12" t="n">
        <x:v>0</x:v>
      </x:c>
      <x:c r="J7" s="12" t="n">
        <x:v>0</x:v>
      </x:c>
      <x:c r="K7" s="12" t="n">
        <x:v>0.24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</x:row>
    <x:row r="8">
      <x:c r="A8" s="11" t="str">
        <x:v>E5</x:v>
      </x:c>
      <x:c r="B8" s="12" t="n">
        <x:v>0</x:v>
      </x:c>
      <x:c r="C8" s="12" t="n">
        <x:v>0</x:v>
      </x:c>
      <x:c r="D8" s="12" t="n">
        <x:v>0.2</x:v>
      </x:c>
      <x:c r="E8" s="12" t="n">
        <x:v>0</x:v>
      </x:c>
      <x:c r="F8" s="12" t="n">
        <x:v>-0.64</x:v>
      </x:c>
      <x:c r="G8" s="12" t="n">
        <x:v>0.2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0.24</x:v>
      </x:c>
      <x:c r="M8" s="12" t="n">
        <x:v>0</x:v>
      </x:c>
      <x:c r="N8" s="12" t="n">
        <x:v>0</x:v>
      </x:c>
      <x:c r="O8" s="12" t="n">
        <x:v>0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</x:row>
    <x:row r="9">
      <x:c r="A9" s="11" t="str">
        <x:v>E6</x:v>
      </x:c>
      <x:c r="B9" s="12" t="n">
        <x:v>0</x:v>
      </x:c>
      <x:c r="C9" s="12" t="n">
        <x:v>0</x:v>
      </x:c>
      <x:c r="D9" s="12" t="n">
        <x:v>0</x:v>
      </x:c>
      <x:c r="E9" s="12" t="n">
        <x:v>0.2</x:v>
      </x:c>
      <x:c r="F9" s="12" t="n">
        <x:v>0.2</x:v>
      </x:c>
      <x:c r="G9" s="12" t="n">
        <x:v>-0.64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0.24</x:v>
      </x:c>
      <x:c r="N9" s="12" t="n">
        <x:v>0</x:v>
      </x:c>
      <x:c r="O9" s="12" t="n">
        <x:v>0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</x:row>
    <x:row r="10">
      <x:c r="A10" s="11" t="str">
        <x:v>E7</x:v>
      </x:c>
      <x:c r="B10" s="12" t="n">
        <x:v>0.2</x:v>
      </x:c>
      <x:c r="C10" s="12" t="n">
        <x:v>0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-1</x:v>
      </x:c>
      <x:c r="I10" s="12" t="n">
        <x:v>0.2</x:v>
      </x:c>
      <x:c r="J10" s="12" t="n">
        <x:v>0.36000000000000004</x:v>
      </x:c>
      <x:c r="K10" s="12" t="n">
        <x:v>0</x:v>
      </x:c>
      <x:c r="L10" s="12" t="n">
        <x:v>0</x:v>
      </x:c>
      <x:c r="M10" s="12" t="n">
        <x:v>0</x:v>
      </x:c>
      <x:c r="N10" s="12" t="n">
        <x:v>0.24</x:v>
      </x:c>
      <x:c r="O10" s="12" t="n">
        <x:v>0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</x:row>
    <x:row r="11">
      <x:c r="A11" s="11" t="str">
        <x:v>E8</x:v>
      </x:c>
      <x:c r="B11" s="12" t="n">
        <x:v>0</x:v>
      </x:c>
      <x:c r="C11" s="12" t="n">
        <x:v>0.2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0.2</x:v>
      </x:c>
      <x:c r="I11" s="12" t="n">
        <x:v>-1</x:v>
      </x:c>
      <x:c r="J11" s="12" t="n">
        <x:v>0</x:v>
      </x:c>
      <x:c r="K11" s="12" t="n">
        <x:v>0.36000000000000004</x:v>
      </x:c>
      <x:c r="L11" s="12" t="n">
        <x:v>0</x:v>
      </x:c>
      <x:c r="M11" s="12" t="n">
        <x:v>0</x:v>
      </x:c>
      <x:c r="N11" s="12" t="n">
        <x:v>0</x:v>
      </x:c>
      <x:c r="O11" s="12" t="n">
        <x:v>0.24</x:v>
      </x:c>
      <x:c r="P11" s="12" t="n">
        <x:v>0</x:v>
      </x:c>
      <x:c r="Q11" s="12" t="n">
        <x:v>0</x:v>
      </x:c>
      <x:c r="R11" s="12" t="n">
        <x:v>0</x:v>
      </x:c>
      <x:c r="S11" s="12" t="n">
        <x:v>0</x:v>
      </x:c>
    </x:row>
    <x:row r="12">
      <x:c r="A12" s="11" t="str">
        <x:v>E9</x:v>
      </x:c>
      <x:c r="B12" s="12" t="n">
        <x:v>0</x:v>
      </x:c>
      <x:c r="C12" s="12" t="n">
        <x:v>0</x:v>
      </x:c>
      <x:c r="D12" s="12" t="n">
        <x:v>0.2</x:v>
      </x:c>
      <x:c r="E12" s="12" t="n">
        <x:v>0</x:v>
      </x:c>
      <x:c r="F12" s="12" t="n">
        <x:v>0</x:v>
      </x:c>
      <x:c r="G12" s="12" t="n">
        <x:v>0</x:v>
      </x:c>
      <x:c r="H12" s="12" t="n">
        <x:v>0.2</x:v>
      </x:c>
      <x:c r="I12" s="12" t="n">
        <x:v>0</x:v>
      </x:c>
      <x:c r="J12" s="12" t="n">
        <x:v>-1.2</x:v>
      </x:c>
      <x:c r="K12" s="12" t="n">
        <x:v>0.2</x:v>
      </x:c>
      <x:c r="L12" s="12" t="n">
        <x:v>0.36000000000000004</x:v>
      </x:c>
      <x:c r="M12" s="12" t="n">
        <x:v>0</x:v>
      </x:c>
      <x:c r="N12" s="12" t="n">
        <x:v>0</x:v>
      </x:c>
      <x:c r="O12" s="12" t="n">
        <x:v>0</x:v>
      </x:c>
      <x:c r="P12" s="12" t="n">
        <x:v>0.24</x:v>
      </x:c>
      <x:c r="Q12" s="12" t="n">
        <x:v>0</x:v>
      </x:c>
      <x:c r="R12" s="12" t="n">
        <x:v>0</x:v>
      </x:c>
      <x:c r="S12" s="12" t="n">
        <x:v>0</x:v>
      </x:c>
    </x:row>
    <x:row r="13">
      <x:c r="A13" s="11" t="str">
        <x:v>E10</x:v>
      </x:c>
      <x:c r="B13" s="12" t="n">
        <x:v>0</x:v>
      </x:c>
      <x:c r="C13" s="12" t="n">
        <x:v>0</x:v>
      </x:c>
      <x:c r="D13" s="12" t="n">
        <x:v>0</x:v>
      </x:c>
      <x:c r="E13" s="12" t="n">
        <x:v>0.2</x:v>
      </x:c>
      <x:c r="F13" s="12" t="n">
        <x:v>0</x:v>
      </x:c>
      <x:c r="G13" s="12" t="n">
        <x:v>0</x:v>
      </x:c>
      <x:c r="H13" s="12" t="n">
        <x:v>0</x:v>
      </x:c>
      <x:c r="I13" s="12" t="n">
        <x:v>0.2</x:v>
      </x:c>
      <x:c r="J13" s="12" t="n">
        <x:v>0.2</x:v>
      </x:c>
      <x:c r="K13" s="12" t="n">
        <x:v>-1.2</x:v>
      </x:c>
      <x:c r="L13" s="12" t="n">
        <x:v>0</x:v>
      </x:c>
      <x:c r="M13" s="12" t="n">
        <x:v>0.36000000000000004</x:v>
      </x:c>
      <x:c r="N13" s="12" t="n">
        <x:v>0</x:v>
      </x:c>
      <x:c r="O13" s="12" t="n">
        <x:v>0</x:v>
      </x:c>
      <x:c r="P13" s="12" t="n">
        <x:v>0</x:v>
      </x:c>
      <x:c r="Q13" s="12" t="n">
        <x:v>0.24</x:v>
      </x:c>
      <x:c r="R13" s="12" t="n">
        <x:v>0</x:v>
      </x:c>
      <x:c r="S13" s="12" t="n">
        <x:v>0</x:v>
      </x:c>
    </x:row>
    <x:row r="14">
      <x:c r="A14" s="11" t="str">
        <x:v>E11</x:v>
      </x:c>
      <x:c r="B14" s="12" t="n">
        <x:v>0</x:v>
      </x:c>
      <x:c r="C14" s="12" t="n">
        <x:v>0</x:v>
      </x:c>
      <x:c r="D14" s="12" t="n">
        <x:v>0</x:v>
      </x:c>
      <x:c r="E14" s="12" t="n">
        <x:v>0</x:v>
      </x:c>
      <x:c r="F14" s="12" t="n">
        <x:v>0.2</x:v>
      </x:c>
      <x:c r="G14" s="12" t="n">
        <x:v>0</x:v>
      </x:c>
      <x:c r="H14" s="12" t="n">
        <x:v>0</x:v>
      </x:c>
      <x:c r="I14" s="12" t="n">
        <x:v>0</x:v>
      </x:c>
      <x:c r="J14" s="12" t="n">
        <x:v>0.2</x:v>
      </x:c>
      <x:c r="K14" s="12" t="n">
        <x:v>0</x:v>
      </x:c>
      <x:c r="L14" s="12" t="n">
        <x:v>-0.8400000000000001</x:v>
      </x:c>
      <x:c r="M14" s="12" t="n">
        <x:v>0.2</x:v>
      </x:c>
      <x:c r="N14" s="12" t="n">
        <x:v>0</x:v>
      </x:c>
      <x:c r="O14" s="12" t="n">
        <x:v>0</x:v>
      </x:c>
      <x:c r="P14" s="12" t="n">
        <x:v>0</x:v>
      </x:c>
      <x:c r="Q14" s="12" t="n">
        <x:v>0</x:v>
      </x:c>
      <x:c r="R14" s="12" t="n">
        <x:v>0.24</x:v>
      </x:c>
      <x:c r="S14" s="12" t="n">
        <x:v>0</x:v>
      </x:c>
    </x:row>
    <x:row r="15">
      <x:c r="A15" s="11" t="str">
        <x:v>E12</x:v>
      </x:c>
      <x:c r="B15" s="12" t="n">
        <x:v>0</x:v>
      </x:c>
      <x:c r="C15" s="12" t="n">
        <x:v>0</x:v>
      </x:c>
      <x:c r="D15" s="12" t="n">
        <x:v>0</x:v>
      </x:c>
      <x:c r="E15" s="12" t="n">
        <x:v>0</x:v>
      </x:c>
      <x:c r="F15" s="12" t="n">
        <x:v>0</x:v>
      </x:c>
      <x:c r="G15" s="12" t="n">
        <x:v>0.2</x:v>
      </x:c>
      <x:c r="H15" s="12" t="n">
        <x:v>0</x:v>
      </x:c>
      <x:c r="I15" s="12" t="n">
        <x:v>0</x:v>
      </x:c>
      <x:c r="J15" s="12" t="n">
        <x:v>0</x:v>
      </x:c>
      <x:c r="K15" s="12" t="n">
        <x:v>0.2</x:v>
      </x:c>
      <x:c r="L15" s="12" t="n">
        <x:v>0.2</x:v>
      </x:c>
      <x:c r="M15" s="12" t="n">
        <x:v>-0.8400000000000001</x:v>
      </x:c>
      <x:c r="N15" s="12" t="n">
        <x:v>0</x:v>
      </x:c>
      <x:c r="O15" s="12" t="n">
        <x:v>0</x:v>
      </x:c>
      <x:c r="P15" s="12" t="n">
        <x:v>0</x:v>
      </x:c>
      <x:c r="Q15" s="12" t="n">
        <x:v>0</x:v>
      </x:c>
      <x:c r="R15" s="12" t="n">
        <x:v>0</x:v>
      </x:c>
      <x:c r="S15" s="12" t="n">
        <x:v>0.24</x:v>
      </x:c>
    </x:row>
    <x:row r="16">
      <x:c r="A16" s="11" t="str">
        <x:v>E13</x:v>
      </x:c>
      <x:c r="B16" s="12" t="n">
        <x:v>0</x:v>
      </x:c>
      <x:c r="C16" s="12" t="n">
        <x:v>0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0.2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-0.76</x:v>
      </x:c>
      <x:c r="O16" s="12" t="n">
        <x:v>0.2</x:v>
      </x:c>
      <x:c r="P16" s="12" t="n">
        <x:v>0.36000000000000004</x:v>
      </x:c>
      <x:c r="Q16" s="12" t="n">
        <x:v>0</x:v>
      </x:c>
      <x:c r="R16" s="12" t="n">
        <x:v>0</x:v>
      </x:c>
      <x:c r="S16" s="12" t="n">
        <x:v>0</x:v>
      </x:c>
    </x:row>
    <x:row r="17">
      <x:c r="A17" s="11" t="str">
        <x:v>E14</x:v>
      </x:c>
      <x:c r="B17" s="12" t="n">
        <x:v>0</x:v>
      </x:c>
      <x:c r="C17" s="12" t="n">
        <x:v>0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0.2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0.2</x:v>
      </x:c>
      <x:c r="O17" s="12" t="n">
        <x:v>-0.76</x:v>
      </x:c>
      <x:c r="P17" s="12" t="n">
        <x:v>0</x:v>
      </x:c>
      <x:c r="Q17" s="12" t="n">
        <x:v>0.36000000000000004</x:v>
      </x:c>
      <x:c r="R17" s="12" t="n">
        <x:v>0</x:v>
      </x:c>
      <x:c r="S17" s="12" t="n">
        <x:v>0</x:v>
      </x:c>
    </x:row>
    <x:row r="18">
      <x:c r="A18" s="11" t="str">
        <x:v>E15</x:v>
      </x:c>
      <x:c r="B18" s="12" t="n">
        <x:v>0</x:v>
      </x:c>
      <x:c r="C18" s="12" t="n">
        <x:v>0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0.2</x:v>
      </x:c>
      <x:c r="K18" s="12" t="n">
        <x:v>0</x:v>
      </x:c>
      <x:c r="L18" s="12" t="n">
        <x:v>0</x:v>
      </x:c>
      <x:c r="M18" s="12" t="n">
        <x:v>0</x:v>
      </x:c>
      <x:c r="N18" s="12" t="n">
        <x:v>0.2</x:v>
      </x:c>
      <x:c r="O18" s="12" t="n">
        <x:v>0</x:v>
      </x:c>
      <x:c r="P18" s="12" t="n">
        <x:v>-0.9600000000000002</x:v>
      </x:c>
      <x:c r="Q18" s="12" t="n">
        <x:v>0.2</x:v>
      </x:c>
      <x:c r="R18" s="12" t="n">
        <x:v>0.36000000000000004</x:v>
      </x:c>
      <x:c r="S18" s="12" t="n">
        <x:v>0</x:v>
      </x:c>
    </x:row>
    <x:row r="19">
      <x:c r="A19" s="11" t="str">
        <x:v>E16</x:v>
      </x:c>
      <x:c r="B19" s="12" t="n">
        <x:v>0</x:v>
      </x:c>
      <x:c r="C19" s="12" t="n">
        <x:v>0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0.2</x:v>
      </x:c>
      <x:c r="L19" s="12" t="n">
        <x:v>0</x:v>
      </x:c>
      <x:c r="M19" s="12" t="n">
        <x:v>0</x:v>
      </x:c>
      <x:c r="N19" s="12" t="n">
        <x:v>0</x:v>
      </x:c>
      <x:c r="O19" s="12" t="n">
        <x:v>0.2</x:v>
      </x:c>
      <x:c r="P19" s="12" t="n">
        <x:v>0.2</x:v>
      </x:c>
      <x:c r="Q19" s="12" t="n">
        <x:v>-0.9600000000000002</x:v>
      </x:c>
      <x:c r="R19" s="12" t="n">
        <x:v>0</x:v>
      </x:c>
      <x:c r="S19" s="12" t="n">
        <x:v>0.36000000000000004</x:v>
      </x:c>
    </x:row>
    <x:row r="20">
      <x:c r="A20" s="11" t="str">
        <x:v>E17</x:v>
      </x:c>
      <x:c r="B20" s="12" t="n">
        <x:v>0</x:v>
      </x:c>
      <x:c r="C20" s="12" t="n">
        <x:v>0</x:v>
      </x:c>
      <x:c r="D20" s="12" t="n">
        <x:v>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0.2</x:v>
      </x:c>
      <x:c r="M20" s="12" t="n">
        <x:v>0</x:v>
      </x:c>
      <x:c r="N20" s="12" t="n">
        <x:v>0</x:v>
      </x:c>
      <x:c r="O20" s="12" t="n">
        <x:v>0</x:v>
      </x:c>
      <x:c r="P20" s="12" t="n">
        <x:v>0.2</x:v>
      </x:c>
      <x:c r="Q20" s="12" t="n">
        <x:v>0</x:v>
      </x:c>
      <x:c r="R20" s="12" t="n">
        <x:v>-0.6000000000000001</x:v>
      </x:c>
      <x:c r="S20" s="12" t="n">
        <x:v>0.2</x:v>
      </x:c>
    </x:row>
    <x:row r="21">
      <x:c r="A21" s="11" t="str">
        <x:v>E18</x:v>
      </x:c>
      <x:c r="B21" s="12" t="n">
        <x:v>0</x:v>
      </x:c>
      <x:c r="C21" s="12" t="n">
        <x:v>0</x:v>
      </x:c>
      <x:c r="D21" s="12" t="n">
        <x:v>0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0.2</x:v>
      </x:c>
      <x:c r="N21" s="12" t="n">
        <x:v>0</x:v>
      </x:c>
      <x:c r="O21" s="12" t="n">
        <x:v>0</x:v>
      </x:c>
      <x:c r="P21" s="12" t="n">
        <x:v>0</x:v>
      </x:c>
      <x:c r="Q21" s="12" t="n">
        <x:v>0.2</x:v>
      </x:c>
      <x:c r="R21" s="12" t="n">
        <x:v>0.2</x:v>
      </x:c>
      <x:c r="S21" s="12" t="n">
        <x:v>-0.6000000000000001</x:v>
      </x:c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</x:row>
    <x:row r="23">
      <x:c r="A23" s="8" t="str">
        <x:v>pQ</x:v>
      </x:c>
      <x:c r="B23" s="25" t="n">
        <x:f>SUMPRODUCT('СИСТЕМА_1'!$C$4:$C$21,B$4:B$21)</x:f>
        <x:v>7.45931094670027e-17</x:v>
      </x:c>
      <x:c r="C23" s="25" t="n">
        <x:f>SUMPRODUCT('СИСТЕМА_1'!$C$4:$C$21,C$4:C$21)</x:f>
        <x:v>-3.642919299551295e-17</x:v>
      </x:c>
      <x:c r="D23" s="25" t="n">
        <x:f>SUMPRODUCT('СИСТЕМА_1'!$C$4:$C$21,D$4:D$21)</x:f>
        <x:v>-3.469446951953614e-17</x:v>
      </x:c>
      <x:c r="E23" s="25" t="n">
        <x:f>SUMPRODUCT('СИСТЕМА_1'!$C$4:$C$21,E$4:E$21)</x:f>
        <x:v>8.673617379884035e-18</x:v>
      </x:c>
      <x:c r="F23" s="25" t="n">
        <x:f>SUMPRODUCT('СИСТЕМА_1'!$C$4:$C$21,F$4:F$21)</x:f>
        <x:v>-6.938893903907228e-18</x:v>
      </x:c>
      <x:c r="G23" s="25" t="n">
        <x:f>SUMPRODUCT('СИСТЕМА_1'!$C$4:$C$21,G$4:G$21)</x:f>
        <x:v>1.734723475976807e-17</x:v>
      </x:c>
      <x:c r="H23" s="25" t="n">
        <x:f>SUMPRODUCT('СИСТЕМА_1'!$C$4:$C$21,H$4:H$21)</x:f>
        <x:v>-2.168404344971009e-17</x:v>
      </x:c>
      <x:c r="I23" s="25" t="n">
        <x:f>SUMPRODUCT('СИСТЕМА_1'!$C$4:$C$21,I$4:I$21)</x:f>
        <x:v>3.469446951953614e-18</x:v>
      </x:c>
      <x:c r="J23" s="25" t="n">
        <x:f>SUMPRODUCT('СИСТЕМА_1'!$C$4:$C$21,J$4:J$21)</x:f>
        <x:v>1.734723475976807e-18</x:v>
      </x:c>
      <x:c r="K23" s="25" t="n">
        <x:f>SUMPRODUCT('СИСТЕМА_1'!$C$4:$C$21,K$4:K$21)</x:f>
        <x:v>3.469446951953614e-18</x:v>
      </x:c>
      <x:c r="L23" s="25" t="n">
        <x:f>SUMPRODUCT('СИСТЕМА_1'!$C$4:$C$21,L$4:L$21)</x:f>
        <x:v>0</x:v>
      </x:c>
      <x:c r="M23" s="25" t="n">
        <x:f>SUMPRODUCT('СИСТЕМА_1'!$C$4:$C$21,M$4:M$21)</x:f>
        <x:v>-2.0816681711721685e-17</x:v>
      </x:c>
      <x:c r="N23" s="25" t="n">
        <x:f>SUMPRODUCT('СИСТЕМА_1'!$C$4:$C$21,N$4:N$21)</x:f>
        <x:v>-5.204170427930421e-18</x:v>
      </x:c>
      <x:c r="O23" s="25" t="n">
        <x:f>SUMPRODUCT('СИСТЕМА_1'!$C$4:$C$21,O$4:O$21)</x:f>
        <x:v>6.938893903907228e-18</x:v>
      </x:c>
      <x:c r="P23" s="25" t="n">
        <x:f>SUMPRODUCT('СИСТЕМА_1'!$C$4:$C$21,P$4:P$21)</x:f>
        <x:v>-3.469446951953614e-18</x:v>
      </x:c>
      <x:c r="Q23" s="25" t="n">
        <x:f>SUMPRODUCT('СИСТЕМА_1'!$C$4:$C$21,Q$4:Q$21)</x:f>
        <x:v>6.938893903907228e-18</x:v>
      </x:c>
      <x:c r="R23" s="25" t="n">
        <x:f>SUMPRODUCT('СИСТЕМА_1'!$C$4:$C$21,R$4:R$21)</x:f>
        <x:v>6.938893903907228e-18</x:v>
      </x:c>
      <x:c r="S23" s="25" t="n">
        <x:f>SUMPRODUCT('СИСТЕМА_1'!$C$4:$C$21,S$4:S$21)</x:f>
        <x:v>-1.3877787807814457e-17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27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4" customHeight="1">
      <x:c r="A1" s="26" t="str">
        <x:v>СИСТЕМА_2: два прибора, П1 — H2,5; накопители 1/2 после допустимого сокращения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27" t="str">
        <x:v>Фазы a и b соответствуют медленной и быстрой экспоненциальным фазам гиперэкспоненциального обслуживания.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A3" s="8" t="str">
        <x:v>№</x:v>
      </x:c>
      <x:c r="B3" s="8" t="str">
        <x:v>Состояние</x:v>
      </x:c>
      <x:c r="C3" s="8" t="str">
        <x:v>p</x:v>
      </x:c>
      <x:c r="D3" s="8" t="str">
        <x:v>П1</x:v>
      </x:c>
      <x:c r="E3" s="8" t="str">
        <x:v>n1</x:v>
      </x:c>
      <x:c r="F3" s="8" t="str">
        <x:v>Фаза</x:v>
      </x:c>
      <x:c r="G3" s="8" t="str">
        <x:v>n2</x:v>
      </x:c>
      <x:c r="H3" s="8" t="str">
        <x:v>l1</x:v>
      </x:c>
      <x:c r="I3" s="8" t="str">
        <x:v>l2</x:v>
      </x:c>
      <x:c r="J3" s="8" t="str">
        <x:v>Вклад w1</x:v>
      </x:c>
      <x:c r="K3" s="8" t="str">
        <x:v>Вклад w2</x:v>
      </x:c>
      <x:c r="L3" s="9"/>
      <x:c r="M3" s="8" t="str">
        <x:v>Характеристика</x:v>
      </x:c>
      <x:c r="N3" s="8" t="str">
        <x:v>П1</x:v>
      </x:c>
      <x:c r="O3" s="8" t="str">
        <x:v>П2</x:v>
      </x:c>
      <x:c r="P3" s="8" t="str">
        <x:v>Суммарно</x:v>
      </x:c>
    </x:row>
    <x:row r="4">
      <x:c r="A4" s="11" t="n">
        <x:v>1</x:v>
      </x:c>
      <x:c r="B4" s="11" t="str">
        <x:v>(0,0)</x:v>
      </x:c>
      <x:c r="C4" s="12" t="n">
        <x:v>0.009583261522760247</x:v>
      </x:c>
      <x:c r="D4" s="11" t="str">
        <x:v>0</x:v>
      </x:c>
      <x:c r="E4" s="11" t="n">
        <x:v>0</x:v>
      </x:c>
      <x:c r="F4" s="11" t="str">
        <x:v>-</x:v>
      </x:c>
      <x:c r="G4" s="11" t="n">
        <x:v>0</x:v>
      </x:c>
      <x:c r="H4" s="11" t="n">
        <x:v>0</x:v>
      </x:c>
      <x:c r="I4" s="11" t="n">
        <x:v>0</x:v>
      </x:c>
      <x:c r="J4" s="12" t="n">
        <x:f>IF(E4&lt;2,C4*IF(E4=0,0,IF(F4="a",1/'Исходные данные'!$B$18,1/'Исходные данные'!$B$19)+(E4-1)*'Исходные данные'!$B$8),0)</x:f>
        <x:v>0</x:v>
      </x:c>
      <x:c r="K4" s="12" t="n">
        <x:f>IF(G4&lt;3,C4*G4*'Исходные данные'!$B$8,0)</x:f>
        <x:v>0</x:v>
      </x:c>
      <x:c r="L4" s="9"/>
      <x:c r="M4" s="11" t="str">
        <x:v>Нагрузка</x:v>
      </x:c>
      <x:c r="N4" s="12" t="n">
        <x:f>'Исходные данные'!$B$7*'Исходные данные'!$B$13*'Исходные данные'!$B$8</x:f>
        <x:v>1.2</x:v>
      </x:c>
      <x:c r="O4" s="12" t="n">
        <x:f>'Исходные данные'!$B$7*'Исходные данные'!$B$14*'Исходные данные'!$B$8</x:f>
        <x:v>2.8</x:v>
      </x:c>
      <x:c r="P4" s="12" t="n">
        <x:f>SUM(N4:O4)</x:f>
        <x:v>4</x:v>
      </x:c>
    </x:row>
    <x:row r="5">
      <x:c r="A5" s="11" t="n">
        <x:v>2</x:v>
      </x:c>
      <x:c r="B5" s="11" t="str">
        <x:v>(0,1)</x:v>
      </x:c>
      <x:c r="C5" s="12" t="n">
        <x:v>0.02683313226372888</x:v>
      </x:c>
      <x:c r="D5" s="11" t="str">
        <x:v>0</x:v>
      </x:c>
      <x:c r="E5" s="11" t="n">
        <x:v>0</x:v>
      </x:c>
      <x:c r="F5" s="11" t="str">
        <x:v>-</x:v>
      </x:c>
      <x:c r="G5" s="11" t="n">
        <x:v>1</x:v>
      </x:c>
      <x:c r="H5" s="11" t="n">
        <x:v>0</x:v>
      </x:c>
      <x:c r="I5" s="11" t="n">
        <x:v>0</x:v>
      </x:c>
      <x:c r="J5" s="12" t="n">
        <x:f>IF(E5&lt;2,C5*IF(E5=0,0,IF(F5="a",1/'Исходные данные'!$B$18,1/'Исходные данные'!$B$19)+(E5-1)*'Исходные данные'!$B$8),0)</x:f>
        <x:v>0</x:v>
      </x:c>
      <x:c r="K5" s="12" t="n">
        <x:f>IF(G5&lt;3,C5*G5*'Исходные данные'!$B$8,0)</x:f>
        <x:v>0.1341656613186444</x:v>
      </x:c>
      <x:c r="L5" s="9"/>
      <x:c r="M5" s="11" t="str">
        <x:v>Загрузка</x:v>
      </x:c>
      <x:c r="N5" s="12" t="n">
        <x:f>SUMIFS($C$4:$C$23,$E$4:$E$23,"&gt;0")</x:f>
        <x:v>0.6780790789274354</x:v>
      </x:c>
      <x:c r="O5" s="12" t="n">
        <x:f>SUMIFS($C$4:$C$23,$G$4:$G$23,"&gt;0")</x:f>
        <x:v>0.9702310073827101</x:v>
      </x:c>
      <x:c r="P5" s="12" t="n">
        <x:f>SUM(N5:O5)</x:f>
        <x:v>1.6483100863101454</x:v>
      </x:c>
    </x:row>
    <x:row r="6">
      <x:c r="A6" s="11" t="n">
        <x:v>3</x:v>
      </x:c>
      <x:c r="B6" s="11" t="str">
        <x:v>(0,2)</x:v>
      </x:c>
      <x:c r="C6" s="12" t="n">
        <x:v>0.07513277033844092</x:v>
      </x:c>
      <x:c r="D6" s="11" t="str">
        <x:v>0</x:v>
      </x:c>
      <x:c r="E6" s="11" t="n">
        <x:v>0</x:v>
      </x:c>
      <x:c r="F6" s="11" t="str">
        <x:v>-</x:v>
      </x:c>
      <x:c r="G6" s="11" t="n">
        <x:v>2</x:v>
      </x:c>
      <x:c r="H6" s="11" t="n">
        <x:v>0</x:v>
      </x:c>
      <x:c r="I6" s="11" t="n">
        <x:v>1</x:v>
      </x:c>
      <x:c r="J6" s="12" t="n">
        <x:f>IF(E6&lt;2,C6*IF(E6=0,0,IF(F6="a",1/'Исходные данные'!$B$18,1/'Исходные данные'!$B$19)+(E6-1)*'Исходные данные'!$B$8),0)</x:f>
        <x:v>0</x:v>
      </x:c>
      <x:c r="K6" s="12" t="n">
        <x:f>IF(G6&lt;3,C6*G6*'Исходные данные'!$B$8,0)</x:f>
        <x:v>0.7513277033844091</x:v>
      </x:c>
      <x:c r="L6" s="9"/>
      <x:c r="M6" s="11" t="str">
        <x:v>Длина очереди</x:v>
      </x:c>
      <x:c r="N6" s="12" t="n">
        <x:f>SUMPRODUCT($C$4:$C$23,$H$4:$H$23)</x:f>
        <x:v>0.434934100893804</x:v>
      </x:c>
      <x:c r="O6" s="12" t="n">
        <x:f>SUMPRODUCT($C$4:$C$23,$I$4:$I$23)</x:f>
        <x:v>1.540366753989045</x:v>
      </x:c>
      <x:c r="P6" s="12" t="n">
        <x:f>SUM(N6:O6)</x:f>
        <x:v>1.9753008548828492</x:v>
      </x:c>
    </x:row>
    <x:row r="7">
      <x:c r="A7" s="11" t="n">
        <x:v>4</x:v>
      </x:c>
      <x:c r="B7" s="11" t="str">
        <x:v>(0,3)</x:v>
      </x:c>
      <x:c r="C7" s="12" t="n">
        <x:v>0.2103717569476346</x:v>
      </x:c>
      <x:c r="D7" s="11" t="str">
        <x:v>0</x:v>
      </x:c>
      <x:c r="E7" s="11" t="n">
        <x:v>0</x:v>
      </x:c>
      <x:c r="F7" s="11" t="str">
        <x:v>-</x:v>
      </x:c>
      <x:c r="G7" s="11" t="n">
        <x:v>3</x:v>
      </x:c>
      <x:c r="H7" s="11" t="n">
        <x:v>0</x:v>
      </x:c>
      <x:c r="I7" s="11" t="n">
        <x:v>2</x:v>
      </x:c>
      <x:c r="J7" s="12" t="n">
        <x:f>IF(E7&lt;2,C7*IF(E7=0,0,IF(F7="a",1/'Исходные данные'!$B$18,1/'Исходные данные'!$B$19)+(E7-1)*'Исходные данные'!$B$8),0)</x:f>
        <x:v>0</x:v>
      </x:c>
      <x:c r="K7" s="12" t="n">
        <x:f>IF(G7&lt;3,C7*G7*'Исходные данные'!$B$8,0)</x:f>
        <x:v>0</x:v>
      </x:c>
      <x:c r="L7" s="9"/>
      <x:c r="M7" s="11" t="str">
        <x:v>Число заявок</x:v>
      </x:c>
      <x:c r="N7" s="12" t="n">
        <x:f>SUMPRODUCT($C$4:$C$23,$E$4:$E$23)</x:f>
        <x:v>1.1130131798212393</x:v>
      </x:c>
      <x:c r="O7" s="12" t="n">
        <x:f>SUMPRODUCT($C$4:$C$23,$G$4:$G$23)</x:f>
        <x:v>2.510597761371755</x:v>
      </x:c>
      <x:c r="P7" s="12" t="n">
        <x:f>SUM(N7:O7)</x:f>
        <x:v>3.6236109411929944</x:v>
      </x:c>
    </x:row>
    <x:row r="8">
      <x:c r="A8" s="11" t="n">
        <x:v>5</x:v>
      </x:c>
      <x:c r="B8" s="11" t="str">
        <x:v>(1a,0)</x:v>
      </x:c>
      <x:c r="C8" s="12" t="n">
        <x:v>0.0011150256892453613</x:v>
      </x:c>
      <x:c r="D8" s="11" t="str">
        <x:v>1a</x:v>
      </x:c>
      <x:c r="E8" s="11" t="n">
        <x:v>1</x:v>
      </x:c>
      <x:c r="F8" s="11" t="str">
        <x:v>a</x:v>
      </x:c>
      <x:c r="G8" s="11" t="n">
        <x:v>0</x:v>
      </x:c>
      <x:c r="H8" s="11" t="n">
        <x:v>0</x:v>
      </x:c>
      <x:c r="I8" s="11" t="n">
        <x:v>0</x:v>
      </x:c>
      <x:c r="J8" s="12" t="n">
        <x:f>IF(E8&lt;2,C8*IF(E8=0,0,IF(F8="a",1/'Исходные данные'!$B$18,1/'Исходные данные'!$B$19)+(E8-1)*'Исходные данные'!$B$8),0)</x:f>
        <x:v>0.03740766607508084</x:v>
      </x:c>
      <x:c r="K8" s="12" t="n">
        <x:f>IF(G8&lt;3,C8*G8*'Исходные данные'!$B$8,0)</x:f>
        <x:v>0</x:v>
      </x:c>
      <x:c r="L8" s="9"/>
      <x:c r="M8" s="11" t="str">
        <x:v>Время ожидания, с</x:v>
      </x:c>
      <x:c r="N8" s="12" t="n">
        <x:f>SUM($J$4:$J$23)/(1-N10)</x:f>
        <x:v>3.207104557640751</x:v>
      </x:c>
      <x:c r="O8" s="12" t="n">
        <x:f>SUM($K$4:$K$23)/(1-O10)</x:f>
        <x:v>7.938144329896906</x:v>
      </x:c>
      <x:c r="P8" s="12" t="n">
        <x:f>SUMPRODUCT(N11:O11,N8:O8)/P11</x:f>
        <x:v>5.991897007997732</x:v>
      </x:c>
    </x:row>
    <x:row r="9">
      <x:c r="A9" s="11" t="n">
        <x:v>6</x:v>
      </x:c>
      <x:c r="B9" s="11" t="str">
        <x:v>(1a,1)</x:v>
      </x:c>
      <x:c r="C9" s="12" t="n">
        <x:v>0.0031220719298870095</x:v>
      </x:c>
      <x:c r="D9" s="11" t="str">
        <x:v>1a</x:v>
      </x:c>
      <x:c r="E9" s="11" t="n">
        <x:v>1</x:v>
      </x:c>
      <x:c r="F9" s="11" t="str">
        <x:v>a</x:v>
      </x:c>
      <x:c r="G9" s="11" t="n">
        <x:v>1</x:v>
      </x:c>
      <x:c r="H9" s="11" t="n">
        <x:v>0</x:v>
      </x:c>
      <x:c r="I9" s="11" t="n">
        <x:v>0</x:v>
      </x:c>
      <x:c r="J9" s="12" t="n">
        <x:f>IF(E9&lt;2,C9*IF(E9=0,0,IF(F9="a",1/'Исходные данные'!$B$18,1/'Исходные данные'!$B$19)+(E9-1)*'Исходные данные'!$B$8),0)</x:f>
        <x:v>0.1047414650102263</x:v>
      </x:c>
      <x:c r="K9" s="12" t="n">
        <x:f>IF(G9&lt;3,C9*G9*'Исходные данные'!$B$8,0)</x:f>
        <x:v>0.015610359649435048</x:v>
      </x:c>
      <x:c r="L9" s="9"/>
      <x:c r="M9" s="11" t="str">
        <x:v>Время пребывания, с</x:v>
      </x:c>
      <x:c r="N9" s="12" t="n">
        <x:f>N8+'Исходные данные'!$B$8</x:f>
        <x:v>8.20710455764075</x:v>
      </x:c>
      <x:c r="O9" s="12" t="n">
        <x:f>O8+'Исходные данные'!$B$8</x:f>
        <x:v>12.938144329896906</x:v>
      </x:c>
      <x:c r="P9" s="12" t="n">
        <x:f>SUMPRODUCT(N11:O11,N9:O9)/P11</x:f>
        <x:v>10.99189700799773</x:v>
      </x:c>
    </x:row>
    <x:row r="10">
      <x:c r="A10" s="11" t="n">
        <x:v>7</x:v>
      </x:c>
      <x:c r="B10" s="11" t="str">
        <x:v>(1a,2)</x:v>
      </x:c>
      <x:c r="C10" s="12" t="n">
        <x:v>0.008741801403683623</x:v>
      </x:c>
      <x:c r="D10" s="11" t="str">
        <x:v>1a</x:v>
      </x:c>
      <x:c r="E10" s="11" t="n">
        <x:v>1</x:v>
      </x:c>
      <x:c r="F10" s="11" t="str">
        <x:v>a</x:v>
      </x:c>
      <x:c r="G10" s="11" t="n">
        <x:v>2</x:v>
      </x:c>
      <x:c r="H10" s="11" t="n">
        <x:v>0</x:v>
      </x:c>
      <x:c r="I10" s="11" t="n">
        <x:v>1</x:v>
      </x:c>
      <x:c r="J10" s="12" t="n">
        <x:f>IF(E10&lt;2,C10*IF(E10=0,0,IF(F10="a",1/'Исходные данные'!$B$18,1/'Исходные данные'!$B$19)+(E10-1)*'Исходные данные'!$B$8),0)</x:f>
        <x:v>0.2932761020286335</x:v>
      </x:c>
      <x:c r="K10" s="12" t="n">
        <x:f>IF(G10&lt;3,C10*G10*'Исходные данные'!$B$8,0)</x:f>
        <x:v>0.08741801403683623</x:v>
      </x:c>
      <x:c r="L10" s="9"/>
      <x:c r="M10" s="11" t="str">
        <x:v>Вероятность потери</x:v>
      </x:c>
      <x:c r="N10" s="12" t="n">
        <x:f>SUMIFS($C$4:$C$23,$E$4:$E$23,2)</x:f>
        <x:v>0.434934100893804</x:v>
      </x:c>
      <x:c r="O10" s="12" t="n">
        <x:f>SUMIFS($C$4:$C$23,$G$4:$G$23,3)</x:f>
        <x:v>0.6534889259347463</x:v>
      </x:c>
      <x:c r="P10" s="12" t="n">
        <x:f>1-P11/'Исходные данные'!$B$7</x:f>
        <x:v>0.5879224784224637</x:v>
      </x:c>
    </x:row>
    <x:row r="11">
      <x:c r="A11" s="11" t="n">
        <x:v>8</x:v>
      </x:c>
      <x:c r="B11" s="11" t="str">
        <x:v>(1a,3)</x:v>
      </x:c>
      <x:c r="C11" s="12" t="n">
        <x:v>0.024477043930314146</x:v>
      </x:c>
      <x:c r="D11" s="11" t="str">
        <x:v>1a</x:v>
      </x:c>
      <x:c r="E11" s="11" t="n">
        <x:v>1</x:v>
      </x:c>
      <x:c r="F11" s="11" t="str">
        <x:v>a</x:v>
      </x:c>
      <x:c r="G11" s="11" t="n">
        <x:v>3</x:v>
      </x:c>
      <x:c r="H11" s="11" t="n">
        <x:v>0</x:v>
      </x:c>
      <x:c r="I11" s="11" t="n">
        <x:v>2</x:v>
      </x:c>
      <x:c r="J11" s="12" t="n">
        <x:f>IF(E11&lt;2,C11*IF(E11=0,0,IF(F11="a",1/'Исходные данные'!$B$18,1/'Исходные данные'!$B$19)+(E11-1)*'Исходные данные'!$B$8),0)</x:f>
        <x:v>0.8211730856801739</x:v>
      </x:c>
      <x:c r="K11" s="12" t="n">
        <x:f>IF(G11&lt;3,C11*G11*'Исходные данные'!$B$8,0)</x:f>
        <x:v>0</x:v>
      </x:c>
      <x:c r="L11" s="9"/>
      <x:c r="M11" s="11" t="str">
        <x:v>Производительность, 1/с</x:v>
      </x:c>
      <x:c r="N11" s="12" t="n">
        <x:f>'Исходные данные'!$B$7*'Исходные данные'!$B$13*(1-N10)</x:f>
        <x:v>0.13561581578548704</x:v>
      </x:c>
      <x:c r="O11" s="12" t="n">
        <x:f>'Исходные данные'!$B$7*'Исходные данные'!$B$14*(1-O10)</x:f>
        <x:v>0.19404620147654206</x:v>
      </x:c>
      <x:c r="P11" s="12" t="n">
        <x:f>SUM(N11:O11)</x:f>
        <x:v>0.3296620172620291</x:v>
      </x:c>
    </x:row>
    <x:row r="12">
      <x:c r="A12" s="11" t="n">
        <x:v>9</x:v>
      </x:c>
      <x:c r="B12" s="11" t="str">
        <x:v>(1b,0)</x:v>
      </x:c>
      <x:c r="C12" s="12" t="n">
        <x:v>0.006123155366768917</x:v>
      </x:c>
      <x:c r="D12" s="11" t="str">
        <x:v>1b</x:v>
      </x:c>
      <x:c r="E12" s="11" t="n">
        <x:v>1</x:v>
      </x:c>
      <x:c r="F12" s="11" t="str">
        <x:v>b</x:v>
      </x:c>
      <x:c r="G12" s="11" t="n">
        <x:v>0</x:v>
      </x:c>
      <x:c r="H12" s="11" t="n">
        <x:v>0</x:v>
      </x:c>
      <x:c r="I12" s="11" t="n">
        <x:v>0</x:v>
      </x:c>
      <x:c r="J12" s="12" t="n">
        <x:f>IF(E12&lt;2,C12*IF(E12=0,0,IF(F12="a",1/'Исходные данные'!$B$18,1/'Исходные данные'!$B$19)+(E12-1)*'Исходные данные'!$B$8),0)</x:f>
        <x:v>0.01654045908539939</x:v>
      </x:c>
      <x:c r="K12" s="12" t="n">
        <x:f>IF(G12&lt;3,C12*G12*'Исходные данные'!$B$8,0)</x:f>
        <x:v>0</x:v>
      </x:c>
      <x:c r="L12" s="9"/>
      <x:c r="M12" s="9"/>
      <x:c r="N12" s="9"/>
      <x:c r="O12" s="9"/>
      <x:c r="P12" s="9"/>
    </x:row>
    <x:row r="13">
      <x:c r="A13" s="11" t="n">
        <x:v>10</x:v>
      </x:c>
      <x:c r="B13" s="11" t="str">
        <x:v>(1b,1)</x:v>
      </x:c>
      <x:c r="C13" s="12" t="n">
        <x:v>0.01714483502695295</x:v>
      </x:c>
      <x:c r="D13" s="11" t="str">
        <x:v>1b</x:v>
      </x:c>
      <x:c r="E13" s="11" t="n">
        <x:v>1</x:v>
      </x:c>
      <x:c r="F13" s="11" t="str">
        <x:v>b</x:v>
      </x:c>
      <x:c r="G13" s="11" t="n">
        <x:v>1</x:v>
      </x:c>
      <x:c r="H13" s="11" t="n">
        <x:v>0</x:v>
      </x:c>
      <x:c r="I13" s="11" t="n">
        <x:v>0</x:v>
      </x:c>
      <x:c r="J13" s="12" t="n">
        <x:f>IF(E13&lt;2,C13*IF(E13=0,0,IF(F13="a",1/'Исходные данные'!$B$18,1/'Исходные данные'!$B$19)+(E13-1)*'Исходные данные'!$B$8),0)</x:f>
        <x:v>0.046313285439118244</x:v>
      </x:c>
      <x:c r="K13" s="12" t="n">
        <x:f>IF(G13&lt;3,C13*G13*'Исходные данные'!$B$8,0)</x:f>
        <x:v>0.08572417513476475</x:v>
      </x:c>
      <x:c r="L13" s="9"/>
      <x:c r="M13" s="8" t="str">
        <x:v>Проверка</x:v>
      </x:c>
      <x:c r="N13" s="8" t="str">
        <x:v>Значение</x:v>
      </x:c>
      <x:c r="O13" s="9"/>
      <x:c r="P13" s="9"/>
    </x:row>
    <x:row r="14">
      <x:c r="A14" s="11" t="n">
        <x:v>11</x:v>
      </x:c>
      <x:c r="B14" s="11" t="str">
        <x:v>(1b,2)</x:v>
      </x:c>
      <x:c r="C14" s="12" t="n">
        <x:v>0.048005538075468236</x:v>
      </x:c>
      <x:c r="D14" s="11" t="str">
        <x:v>1b</x:v>
      </x:c>
      <x:c r="E14" s="11" t="n">
        <x:v>1</x:v>
      </x:c>
      <x:c r="F14" s="11" t="str">
        <x:v>b</x:v>
      </x:c>
      <x:c r="G14" s="11" t="n">
        <x:v>2</x:v>
      </x:c>
      <x:c r="H14" s="11" t="n">
        <x:v>0</x:v>
      </x:c>
      <x:c r="I14" s="11" t="n">
        <x:v>1</x:v>
      </x:c>
      <x:c r="J14" s="12" t="n">
        <x:f>IF(E14&lt;2,C14*IF(E14=0,0,IF(F14="a",1/'Исходные данные'!$B$18,1/'Исходные данные'!$B$19)+(E14-1)*'Исходные данные'!$B$8),0)</x:f>
        <x:v>0.129677199229531</x:v>
      </x:c>
      <x:c r="K14" s="12" t="n">
        <x:f>IF(G14&lt;3,C14*G14*'Исходные данные'!$B$8,0)</x:f>
        <x:v>0.48005538075468235</x:v>
      </x:c>
      <x:c r="L14" s="9"/>
      <x:c r="M14" s="11" t="str">
        <x:v>Сумма вероятностей</x:v>
      </x:c>
      <x:c r="N14" s="25" t="n">
        <x:f>SUM(C4:C23)</x:f>
        <x:v>1</x:v>
      </x:c>
      <x:c r="O14" s="9"/>
      <x:c r="P14" s="9"/>
    </x:row>
    <x:row r="15">
      <x:c r="A15" s="11" t="n">
        <x:v>12</x:v>
      </x:c>
      <x:c r="B15" s="11" t="str">
        <x:v>(1b,3)</x:v>
      </x:c>
      <x:c r="C15" s="12" t="n">
        <x:v>0.13441550661131102</x:v>
      </x:c>
      <x:c r="D15" s="11" t="str">
        <x:v>1b</x:v>
      </x:c>
      <x:c r="E15" s="11" t="n">
        <x:v>1</x:v>
      </x:c>
      <x:c r="F15" s="11" t="str">
        <x:v>b</x:v>
      </x:c>
      <x:c r="G15" s="11" t="n">
        <x:v>3</x:v>
      </x:c>
      <x:c r="H15" s="11" t="n">
        <x:v>0</x:v>
      </x:c>
      <x:c r="I15" s="11" t="n">
        <x:v>2</x:v>
      </x:c>
      <x:c r="J15" s="12" t="n">
        <x:f>IF(E15&lt;2,C15*IF(E15=0,0,IF(F15="a",1/'Исходные данные'!$B$18,1/'Исходные данные'!$B$19)+(E15-1)*'Исходные данные'!$B$8),0)</x:f>
        <x:v>0.36309615784268673</x:v>
      </x:c>
      <x:c r="K15" s="12" t="n">
        <x:f>IF(G15&lt;3,C15*G15*'Исходные данные'!$B$8,0)</x:f>
        <x:v>0</x:v>
      </x:c>
      <x:c r="L15" s="9"/>
      <x:c r="M15" s="11" t="str">
        <x:v>Невязка уравнений pQ</x:v>
      </x:c>
      <x:c r="N15" s="25" t="n">
        <x:v>5.995693642883202e-17</x:v>
      </x:c>
      <x:c r="O15" s="9"/>
      <x:c r="P15" s="9"/>
    </x:row>
    <x:row r="16">
      <x:c r="A16" s="11" t="n">
        <x:v>13</x:v>
      </x:c>
      <x:c r="B16" s="11" t="str">
        <x:v>(2a,0)</x:v>
      </x:c>
      <x:c r="C16" s="12" t="n">
        <x:v>0.008977839858019391</x:v>
      </x:c>
      <x:c r="D16" s="11" t="str">
        <x:v>2a</x:v>
      </x:c>
      <x:c r="E16" s="11" t="n">
        <x:v>2</x:v>
      </x:c>
      <x:c r="F16" s="11" t="str">
        <x:v>a</x:v>
      </x:c>
      <x:c r="G16" s="11" t="n">
        <x:v>0</x:v>
      </x:c>
      <x:c r="H16" s="11" t="n">
        <x:v>1</x:v>
      </x:c>
      <x:c r="I16" s="11" t="n">
        <x:v>0</x:v>
      </x:c>
      <x:c r="J16" s="12" t="n">
        <x:f>IF(E16&lt;2,C16*IF(E16=0,0,IF(F16="a",1/'Исходные данные'!$B$18,1/'Исходные данные'!$B$19)+(E16-1)*'Исходные данные'!$B$8),0)</x:f>
        <x:v>0</x:v>
      </x:c>
      <x:c r="K16" s="12" t="n">
        <x:f>IF(G16&lt;3,C16*G16*'Исходные данные'!$B$8,0)</x:f>
        <x:v>0</x:v>
      </x:c>
      <x:c r="L16" s="9"/>
      <x:c r="M16" s="9"/>
      <x:c r="N16" s="9"/>
      <x:c r="O16" s="9"/>
      <x:c r="P16" s="9"/>
    </x:row>
    <x:row r="17">
      <x:c r="A17" s="11" t="n">
        <x:v>14</x:v>
      </x:c>
      <x:c r="B17" s="11" t="str">
        <x:v>(2a,1)</x:v>
      </x:c>
      <x:c r="C17" s="12" t="n">
        <x:v>0.025137951602454297</x:v>
      </x:c>
      <x:c r="D17" s="11" t="str">
        <x:v>2a</x:v>
      </x:c>
      <x:c r="E17" s="11" t="n">
        <x:v>2</x:v>
      </x:c>
      <x:c r="F17" s="11" t="str">
        <x:v>a</x:v>
      </x:c>
      <x:c r="G17" s="11" t="n">
        <x:v>1</x:v>
      </x:c>
      <x:c r="H17" s="11" t="n">
        <x:v>1</x:v>
      </x:c>
      <x:c r="I17" s="11" t="n">
        <x:v>0</x:v>
      </x:c>
      <x:c r="J17" s="12" t="n">
        <x:f>IF(E17&lt;2,C17*IF(E17=0,0,IF(F17="a",1/'Исходные данные'!$B$18,1/'Исходные данные'!$B$19)+(E17-1)*'Исходные данные'!$B$8),0)</x:f>
        <x:v>0</x:v>
      </x:c>
      <x:c r="K17" s="12" t="n">
        <x:f>IF(G17&lt;3,C17*G17*'Исходные данные'!$B$8,0)</x:f>
        <x:v>0.12568975801227147</x:v>
      </x:c>
      <x:c r="L17" s="9"/>
      <x:c r="M17" s="9"/>
      <x:c r="N17" s="9"/>
      <x:c r="O17" s="9"/>
      <x:c r="P17" s="9"/>
    </x:row>
    <x:row r="18">
      <x:c r="A18" s="11" t="n">
        <x:v>15</x:v>
      </x:c>
      <x:c r="B18" s="11" t="str">
        <x:v>(2a,2)</x:v>
      </x:c>
      <x:c r="C18" s="12" t="n">
        <x:v>0.07038626448687203</x:v>
      </x:c>
      <x:c r="D18" s="11" t="str">
        <x:v>2a</x:v>
      </x:c>
      <x:c r="E18" s="11" t="n">
        <x:v>2</x:v>
      </x:c>
      <x:c r="F18" s="11" t="str">
        <x:v>a</x:v>
      </x:c>
      <x:c r="G18" s="11" t="n">
        <x:v>2</x:v>
      </x:c>
      <x:c r="H18" s="11" t="n">
        <x:v>1</x:v>
      </x:c>
      <x:c r="I18" s="11" t="n">
        <x:v>1</x:v>
      </x:c>
      <x:c r="J18" s="12" t="n">
        <x:f>IF(E18&lt;2,C18*IF(E18=0,0,IF(F18="a",1/'Исходные данные'!$B$18,1/'Исходные данные'!$B$19)+(E18-1)*'Исходные данные'!$B$8),0)</x:f>
        <x:v>0</x:v>
      </x:c>
      <x:c r="K18" s="12" t="n">
        <x:f>IF(G18&lt;3,C18*G18*'Исходные данные'!$B$8,0)</x:f>
        <x:v>0.7038626448687203</x:v>
      </x:c>
      <x:c r="L18" s="9"/>
      <x:c r="M18" s="9"/>
      <x:c r="N18" s="9"/>
      <x:c r="O18" s="9"/>
      <x:c r="P18" s="9"/>
    </x:row>
    <x:row r="19">
      <x:c r="A19" s="11" t="n">
        <x:v>16</x:v>
      </x:c>
      <x:c r="B19" s="11" t="str">
        <x:v>(2a,3)</x:v>
      </x:c>
      <x:c r="C19" s="12" t="n">
        <x:v>0.19708154056324173</x:v>
      </x:c>
      <x:c r="D19" s="11" t="str">
        <x:v>2a</x:v>
      </x:c>
      <x:c r="E19" s="11" t="n">
        <x:v>2</x:v>
      </x:c>
      <x:c r="F19" s="11" t="str">
        <x:v>a</x:v>
      </x:c>
      <x:c r="G19" s="11" t="n">
        <x:v>3</x:v>
      </x:c>
      <x:c r="H19" s="11" t="n">
        <x:v>1</x:v>
      </x:c>
      <x:c r="I19" s="11" t="n">
        <x:v>2</x:v>
      </x:c>
      <x:c r="J19" s="12" t="n">
        <x:f>IF(E19&lt;2,C19*IF(E19=0,0,IF(F19="a",1/'Исходные данные'!$B$18,1/'Исходные данные'!$B$19)+(E19-1)*'Исходные данные'!$B$8),0)</x:f>
        <x:v>0</x:v>
      </x:c>
      <x:c r="K19" s="12" t="n">
        <x:f>IF(G19&lt;3,C19*G19*'Исходные данные'!$B$8,0)</x:f>
        <x:v>0</x:v>
      </x:c>
      <x:c r="L19" s="9"/>
      <x:c r="M19" s="9"/>
      <x:c r="N19" s="9"/>
      <x:c r="O19" s="9"/>
      <x:c r="P19" s="9"/>
    </x:row>
    <x:row r="20">
      <x:c r="A20" s="11" t="n">
        <x:v>17</x:v>
      </x:c>
      <x:c r="B20" s="11" t="str">
        <x:v>(2b,0)</x:v>
      </x:c>
      <x:c r="C20" s="12" t="n">
        <x:v>0.003969710180495852</x:v>
      </x:c>
      <x:c r="D20" s="11" t="str">
        <x:v>2b</x:v>
      </x:c>
      <x:c r="E20" s="11" t="n">
        <x:v>2</x:v>
      </x:c>
      <x:c r="F20" s="11" t="str">
        <x:v>b</x:v>
      </x:c>
      <x:c r="G20" s="11" t="n">
        <x:v>0</x:v>
      </x:c>
      <x:c r="H20" s="11" t="n">
        <x:v>1</x:v>
      </x:c>
      <x:c r="I20" s="11" t="n">
        <x:v>0</x:v>
      </x:c>
      <x:c r="J20" s="12" t="n">
        <x:f>IF(E20&lt;2,C20*IF(E20=0,0,IF(F20="a",1/'Исходные данные'!$B$18,1/'Исходные данные'!$B$19)+(E20-1)*'Исходные данные'!$B$8),0)</x:f>
        <x:v>0</x:v>
      </x:c>
      <x:c r="K20" s="12" t="n">
        <x:f>IF(G20&lt;3,C20*G20*'Исходные данные'!$B$8,0)</x:f>
        <x:v>0</x:v>
      </x:c>
      <x:c r="L20" s="9"/>
      <x:c r="M20" s="9"/>
      <x:c r="N20" s="9"/>
      <x:c r="O20" s="9"/>
      <x:c r="P20" s="9"/>
    </x:row>
    <x:row r="21">
      <x:c r="A21" s="11" t="n">
        <x:v>18</x:v>
      </x:c>
      <x:c r="B21" s="11" t="str">
        <x:v>(2b,1)</x:v>
      </x:c>
      <x:c r="C21" s="12" t="n">
        <x:v>0.011115188505388379</x:v>
      </x:c>
      <x:c r="D21" s="11" t="str">
        <x:v>2b</x:v>
      </x:c>
      <x:c r="E21" s="11" t="n">
        <x:v>2</x:v>
      </x:c>
      <x:c r="F21" s="11" t="str">
        <x:v>b</x:v>
      </x:c>
      <x:c r="G21" s="11" t="n">
        <x:v>1</x:v>
      </x:c>
      <x:c r="H21" s="11" t="n">
        <x:v>1</x:v>
      </x:c>
      <x:c r="I21" s="11" t="n">
        <x:v>0</x:v>
      </x:c>
      <x:c r="J21" s="12" t="n">
        <x:f>IF(E21&lt;2,C21*IF(E21=0,0,IF(F21="a",1/'Исходные данные'!$B$18,1/'Исходные данные'!$B$19)+(E21-1)*'Исходные данные'!$B$8),0)</x:f>
        <x:v>0</x:v>
      </x:c>
      <x:c r="K21" s="12" t="n">
        <x:f>IF(G21&lt;3,C21*G21*'Исходные данные'!$B$8,0)</x:f>
        <x:v>0.055575942526941896</x:v>
      </x:c>
      <x:c r="L21" s="9"/>
      <x:c r="M21" s="9"/>
      <x:c r="N21" s="9"/>
      <x:c r="O21" s="9"/>
      <x:c r="P21" s="9"/>
    </x:row>
    <x:row r="22">
      <x:c r="A22" s="11" t="n">
        <x:v>19</x:v>
      </x:c>
      <x:c r="B22" s="11" t="str">
        <x:v>(2b,2)</x:v>
      </x:c>
      <x:c r="C22" s="12" t="n">
        <x:v>0.03112252781508746</x:v>
      </x:c>
      <x:c r="D22" s="11" t="str">
        <x:v>2b</x:v>
      </x:c>
      <x:c r="E22" s="11" t="n">
        <x:v>2</x:v>
      </x:c>
      <x:c r="F22" s="11" t="str">
        <x:v>b</x:v>
      </x:c>
      <x:c r="G22" s="11" t="n">
        <x:v>2</x:v>
      </x:c>
      <x:c r="H22" s="11" t="n">
        <x:v>1</x:v>
      </x:c>
      <x:c r="I22" s="11" t="n">
        <x:v>1</x:v>
      </x:c>
      <x:c r="J22" s="12" t="n">
        <x:f>IF(E22&lt;2,C22*IF(E22=0,0,IF(F22="a",1/'Исходные данные'!$B$18,1/'Исходные данные'!$B$19)+(E22-1)*'Исходные данные'!$B$8),0)</x:f>
        <x:v>0</x:v>
      </x:c>
      <x:c r="K22" s="12" t="n">
        <x:f>IF(G22&lt;3,C22*G22*'Исходные данные'!$B$8,0)</x:f>
        <x:v>0.3112252781508746</x:v>
      </x:c>
      <x:c r="L22" s="9"/>
      <x:c r="M22" s="9"/>
      <x:c r="N22" s="9"/>
      <x:c r="O22" s="9"/>
      <x:c r="P22" s="9"/>
    </x:row>
    <x:row r="23">
      <x:c r="A23" s="11" t="n">
        <x:v>20</x:v>
      </x:c>
      <x:c r="B23" s="11" t="str">
        <x:v>(2b,3)</x:v>
      </x:c>
      <x:c r="C23" s="12" t="n">
        <x:v>0.08714307788224487</x:v>
      </x:c>
      <x:c r="D23" s="11" t="str">
        <x:v>2b</x:v>
      </x:c>
      <x:c r="E23" s="11" t="n">
        <x:v>2</x:v>
      </x:c>
      <x:c r="F23" s="11" t="str">
        <x:v>b</x:v>
      </x:c>
      <x:c r="G23" s="11" t="n">
        <x:v>3</x:v>
      </x:c>
      <x:c r="H23" s="11" t="n">
        <x:v>1</x:v>
      </x:c>
      <x:c r="I23" s="11" t="n">
        <x:v>2</x:v>
      </x:c>
      <x:c r="J23" s="12" t="n">
        <x:f>IF(E23&lt;2,C23*IF(E23=0,0,IF(F23="a",1/'Исходные данные'!$B$18,1/'Исходные данные'!$B$19)+(E23-1)*'Исходные данные'!$B$8),0)</x:f>
        <x:v>0</x:v>
      </x:c>
      <x:c r="K23" s="12" t="n">
        <x:f>IF(G23&lt;3,C23*G23*'Исходные данные'!$B$8,0)</x:f>
        <x:v>0</x:v>
      </x:c>
      <x:c r="L23" s="9"/>
      <x:c r="M23" s="9"/>
      <x:c r="N23" s="9"/>
      <x:c r="O23" s="9"/>
      <x:c r="P23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</x:cols>
  <x:sheetData>
    <x:row r="1" ht="24" customHeight="1">
      <x:c r="A1" s="26" t="str">
        <x:v>Матрица интенсивностей переходов Q2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3">
      <x:c r="A3" s="8" t="str">
        <x:v>Из / в</x:v>
      </x:c>
      <x:c r="B3" s="8" t="str">
        <x:v>E1</x:v>
      </x:c>
      <x:c r="C3" s="8" t="str">
        <x:v>E2</x:v>
      </x:c>
      <x:c r="D3" s="8" t="str">
        <x:v>E3</x:v>
      </x:c>
      <x:c r="E3" s="8" t="str">
        <x:v>E4</x:v>
      </x:c>
      <x:c r="F3" s="8" t="str">
        <x:v>E5</x:v>
      </x:c>
      <x:c r="G3" s="8" t="str">
        <x:v>E6</x:v>
      </x:c>
      <x:c r="H3" s="8" t="str">
        <x:v>E7</x:v>
      </x:c>
      <x:c r="I3" s="8" t="str">
        <x:v>E8</x:v>
      </x:c>
      <x:c r="J3" s="8" t="str">
        <x:v>E9</x:v>
      </x:c>
      <x:c r="K3" s="8" t="str">
        <x:v>E10</x:v>
      </x:c>
      <x:c r="L3" s="8" t="str">
        <x:v>E11</x:v>
      </x:c>
      <x:c r="M3" s="8" t="str">
        <x:v>E12</x:v>
      </x:c>
      <x:c r="N3" s="8" t="str">
        <x:v>E13</x:v>
      </x:c>
      <x:c r="O3" s="8" t="str">
        <x:v>E14</x:v>
      </x:c>
      <x:c r="P3" s="8" t="str">
        <x:v>E15</x:v>
      </x:c>
      <x:c r="Q3" s="8" t="str">
        <x:v>E16</x:v>
      </x:c>
      <x:c r="R3" s="8" t="str">
        <x:v>E17</x:v>
      </x:c>
      <x:c r="S3" s="8" t="str">
        <x:v>E18</x:v>
      </x:c>
      <x:c r="T3" s="8" t="str">
        <x:v>E19</x:v>
      </x:c>
      <x:c r="U3" s="8" t="str">
        <x:v>E20</x:v>
      </x:c>
    </x:row>
    <x:row r="4">
      <x:c r="A4" s="11" t="str">
        <x:v>E1</x:v>
      </x:c>
      <x:c r="B4" s="12" t="n">
        <x:v>-0.7999999999999999</x:v>
      </x:c>
      <x:c r="C4" s="12" t="n">
        <x:v>0.5599999999999999</x:v>
      </x:c>
      <x:c r="D4" s="12" t="n">
        <x:v>0</x:v>
      </x:c>
      <x:c r="E4" s="12" t="n">
        <x:v>0</x:v>
      </x:c>
      <x:c r="F4" s="12" t="n">
        <x:v>0.01788444679238842</x:v>
      </x:c>
      <x:c r="G4" s="12" t="n">
        <x:v>0</x:v>
      </x:c>
      <x:c r="H4" s="12" t="n">
        <x:v>0</x:v>
      </x:c>
      <x:c r="I4" s="12" t="n">
        <x:v>0</x:v>
      </x:c>
      <x:c r="J4" s="12" t="n">
        <x:v>0.22211555320761156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n">
        <x:v>0</x:v>
      </x:c>
      <x:c r="P4" s="12" t="n">
        <x:v>0</x:v>
      </x:c>
      <x:c r="Q4" s="12" t="n">
        <x:v>0</x:v>
      </x:c>
      <x:c r="R4" s="12" t="n">
        <x:v>0</x:v>
      </x:c>
      <x:c r="S4" s="12" t="n">
        <x:v>0</x:v>
      </x:c>
      <x:c r="T4" s="12" t="n">
        <x:v>0</x:v>
      </x:c>
      <x:c r="U4" s="12" t="n">
        <x:v>0</x:v>
      </x:c>
    </x:row>
    <x:row r="5">
      <x:c r="A5" s="11" t="str">
        <x:v>E2</x:v>
      </x:c>
      <x:c r="B5" s="12" t="n">
        <x:v>0.2</x:v>
      </x:c>
      <x:c r="C5" s="12" t="n">
        <x:v>-1</x:v>
      </x:c>
      <x:c r="D5" s="12" t="n">
        <x:v>0.5599999999999999</x:v>
      </x:c>
      <x:c r="E5" s="12" t="n">
        <x:v>0</x:v>
      </x:c>
      <x:c r="F5" s="12" t="n">
        <x:v>0</x:v>
      </x:c>
      <x:c r="G5" s="12" t="n">
        <x:v>0.01788444679238842</x:v>
      </x:c>
      <x:c r="H5" s="12" t="n">
        <x:v>0</x:v>
      </x:c>
      <x:c r="I5" s="12" t="n">
        <x:v>0</x:v>
      </x:c>
      <x:c r="J5" s="12" t="n">
        <x:v>0</x:v>
      </x:c>
      <x:c r="K5" s="12" t="n">
        <x:v>0.22211555320761156</x:v>
      </x:c>
      <x:c r="L5" s="12" t="n">
        <x:v>0</x:v>
      </x:c>
      <x:c r="M5" s="12" t="n">
        <x:v>0</x:v>
      </x:c>
      <x:c r="N5" s="12" t="n">
        <x:v>0</x:v>
      </x:c>
      <x:c r="O5" s="12" t="n">
        <x:v>0</x:v>
      </x:c>
      <x:c r="P5" s="12" t="n">
        <x:v>0</x:v>
      </x:c>
      <x:c r="Q5" s="12" t="n">
        <x:v>0</x:v>
      </x:c>
      <x:c r="R5" s="12" t="n">
        <x:v>0</x:v>
      </x:c>
      <x:c r="S5" s="12" t="n">
        <x:v>0</x:v>
      </x:c>
      <x:c r="T5" s="12" t="n">
        <x:v>0</x:v>
      </x:c>
      <x:c r="U5" s="12" t="n">
        <x:v>0</x:v>
      </x:c>
    </x:row>
    <x:row r="6">
      <x:c r="A6" s="11" t="str">
        <x:v>E3</x:v>
      </x:c>
      <x:c r="B6" s="12" t="n">
        <x:v>0</x:v>
      </x:c>
      <x:c r="C6" s="12" t="n">
        <x:v>0.2</x:v>
      </x:c>
      <x:c r="D6" s="12" t="n">
        <x:v>-1</x:v>
      </x:c>
      <x:c r="E6" s="12" t="n">
        <x:v>0.5599999999999999</x:v>
      </x:c>
      <x:c r="F6" s="12" t="n">
        <x:v>0</x:v>
      </x:c>
      <x:c r="G6" s="12" t="n">
        <x:v>0</x:v>
      </x:c>
      <x:c r="H6" s="12" t="n">
        <x:v>0.01788444679238842</x:v>
      </x:c>
      <x:c r="I6" s="12" t="n">
        <x:v>0</x:v>
      </x:c>
      <x:c r="J6" s="12" t="n">
        <x:v>0</x:v>
      </x:c>
      <x:c r="K6" s="12" t="n">
        <x:v>0</x:v>
      </x:c>
      <x:c r="L6" s="12" t="n">
        <x:v>0.22211555320761156</x:v>
      </x:c>
      <x:c r="M6" s="12" t="n">
        <x:v>0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n">
        <x:v>0</x:v>
      </x:c>
    </x:row>
    <x:row r="7">
      <x:c r="A7" s="11" t="str">
        <x:v>E4</x:v>
      </x:c>
      <x:c r="B7" s="12" t="n">
        <x:v>0</x:v>
      </x:c>
      <x:c r="C7" s="12" t="n">
        <x:v>0</x:v>
      </x:c>
      <x:c r="D7" s="12" t="n">
        <x:v>0.2</x:v>
      </x:c>
      <x:c r="E7" s="12" t="n">
        <x:v>-0.44</x:v>
      </x:c>
      <x:c r="F7" s="12" t="n">
        <x:v>0</x:v>
      </x:c>
      <x:c r="G7" s="12" t="n">
        <x:v>0</x:v>
      </x:c>
      <x:c r="H7" s="12" t="n">
        <x:v>0</x:v>
      </x:c>
      <x:c r="I7" s="12" t="n">
        <x:v>0.01788444679238842</x:v>
      </x:c>
      <x:c r="J7" s="12" t="n">
        <x:v>0</x:v>
      </x:c>
      <x:c r="K7" s="12" t="n">
        <x:v>0</x:v>
      </x:c>
      <x:c r="L7" s="12" t="n">
        <x:v>0</x:v>
      </x:c>
      <x:c r="M7" s="12" t="n">
        <x:v>0.22211555320761156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0</x:v>
      </x:c>
      <x:c r="U7" s="12" t="n">
        <x:v>0</x:v>
      </x:c>
    </x:row>
    <x:row r="8">
      <x:c r="A8" s="11" t="str">
        <x:v>E5</x:v>
      </x:c>
      <x:c r="B8" s="12" t="n">
        <x:v>0.02980741132064737</x:v>
      </x:c>
      <x:c r="C8" s="12" t="n">
        <x:v>0</x:v>
      </x:c>
      <x:c r="D8" s="12" t="n">
        <x:v>0</x:v>
      </x:c>
      <x:c r="E8" s="12" t="n">
        <x:v>0</x:v>
      </x:c>
      <x:c r="F8" s="12" t="n">
        <x:v>-0.8298074113206473</x:v>
      </x:c>
      <x:c r="G8" s="12" t="n">
        <x:v>0.5599999999999999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0.24</x:v>
      </x:c>
      <x:c r="O8" s="12" t="n">
        <x:v>0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  <x:c r="T8" s="12" t="n">
        <x:v>0</x:v>
      </x:c>
      <x:c r="U8" s="12" t="n">
        <x:v>0</x:v>
      </x:c>
    </x:row>
    <x:row r="9">
      <x:c r="A9" s="11" t="str">
        <x:v>E6</x:v>
      </x:c>
      <x:c r="B9" s="12" t="n">
        <x:v>0</x:v>
      </x:c>
      <x:c r="C9" s="12" t="n">
        <x:v>0.02980741132064737</x:v>
      </x:c>
      <x:c r="D9" s="12" t="n">
        <x:v>0</x:v>
      </x:c>
      <x:c r="E9" s="12" t="n">
        <x:v>0</x:v>
      </x:c>
      <x:c r="F9" s="12" t="n">
        <x:v>0.2</x:v>
      </x:c>
      <x:c r="G9" s="12" t="n">
        <x:v>-1.0298074113206475</x:v>
      </x:c>
      <x:c r="H9" s="12" t="n">
        <x:v>0.5599999999999999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n">
        <x:v>0.24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  <x:c r="T9" s="12" t="n">
        <x:v>0</x:v>
      </x:c>
      <x:c r="U9" s="12" t="n">
        <x:v>0</x:v>
      </x:c>
    </x:row>
    <x:row r="10">
      <x:c r="A10" s="11" t="str">
        <x:v>E7</x:v>
      </x:c>
      <x:c r="B10" s="12" t="n">
        <x:v>0</x:v>
      </x:c>
      <x:c r="C10" s="12" t="n">
        <x:v>0</x:v>
      </x:c>
      <x:c r="D10" s="12" t="n">
        <x:v>0.02980741132064737</x:v>
      </x:c>
      <x:c r="E10" s="12" t="n">
        <x:v>0</x:v>
      </x:c>
      <x:c r="F10" s="12" t="n">
        <x:v>0</x:v>
      </x:c>
      <x:c r="G10" s="12" t="n">
        <x:v>0.2</x:v>
      </x:c>
      <x:c r="H10" s="12" t="n">
        <x:v>-1.0298074113206475</x:v>
      </x:c>
      <x:c r="I10" s="12" t="n">
        <x:v>0.5599999999999999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0.24</x:v>
      </x:c>
      <x:c r="Q10" s="12" t="n">
        <x:v>0</x:v>
      </x:c>
      <x:c r="R10" s="12" t="n">
        <x:v>0</x:v>
      </x:c>
      <x:c r="S10" s="12" t="n">
        <x:v>0</x:v>
      </x:c>
      <x:c r="T10" s="12" t="n">
        <x:v>0</x:v>
      </x:c>
      <x:c r="U10" s="12" t="n">
        <x:v>0</x:v>
      </x:c>
    </x:row>
    <x:row r="11">
      <x:c r="A11" s="11" t="str">
        <x:v>E8</x:v>
      </x:c>
      <x:c r="B11" s="12" t="n">
        <x:v>0</x:v>
      </x:c>
      <x:c r="C11" s="12" t="n">
        <x:v>0</x:v>
      </x:c>
      <x:c r="D11" s="12" t="n">
        <x:v>0</x:v>
      </x:c>
      <x:c r="E11" s="12" t="n">
        <x:v>0.02980741132064737</x:v>
      </x:c>
      <x:c r="F11" s="12" t="n">
        <x:v>0</x:v>
      </x:c>
      <x:c r="G11" s="12" t="n">
        <x:v>0</x:v>
      </x:c>
      <x:c r="H11" s="12" t="n">
        <x:v>0.2</x:v>
      </x:c>
      <x:c r="I11" s="12" t="n">
        <x:v>-0.46980741132064735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n">
        <x:v>0</x:v>
      </x:c>
      <x:c r="P11" s="12" t="n">
        <x:v>0</x:v>
      </x:c>
      <x:c r="Q11" s="12" t="n">
        <x:v>0.24</x:v>
      </x:c>
      <x:c r="R11" s="12" t="n">
        <x:v>0</x:v>
      </x:c>
      <x:c r="S11" s="12" t="n">
        <x:v>0</x:v>
      </x:c>
      <x:c r="T11" s="12" t="n">
        <x:v>0</x:v>
      </x:c>
      <x:c r="U11" s="12" t="n">
        <x:v>0</x:v>
      </x:c>
    </x:row>
    <x:row r="12">
      <x:c r="A12" s="11" t="str">
        <x:v>E9</x:v>
      </x:c>
      <x:c r="B12" s="12" t="n">
        <x:v>0.3701925886793526</x:v>
      </x:c>
      <x:c r="C12" s="12" t="n">
        <x:v>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-1.1701925886793525</x:v>
      </x:c>
      <x:c r="K12" s="12" t="n">
        <x:v>0.5599999999999999</x:v>
      </x:c>
      <x:c r="L12" s="12" t="n">
        <x:v>0</x:v>
      </x:c>
      <x:c r="M12" s="12" t="n">
        <x:v>0</x:v>
      </x:c>
      <x:c r="N12" s="12" t="n">
        <x:v>0</x:v>
      </x:c>
      <x:c r="O12" s="12" t="n">
        <x:v>0</x:v>
      </x:c>
      <x:c r="P12" s="12" t="n">
        <x:v>0</x:v>
      </x:c>
      <x:c r="Q12" s="12" t="n">
        <x:v>0</x:v>
      </x:c>
      <x:c r="R12" s="12" t="n">
        <x:v>0.24</x:v>
      </x:c>
      <x:c r="S12" s="12" t="n">
        <x:v>0</x:v>
      </x:c>
      <x:c r="T12" s="12" t="n">
        <x:v>0</x:v>
      </x:c>
      <x:c r="U12" s="12" t="n">
        <x:v>0</x:v>
      </x:c>
    </x:row>
    <x:row r="13">
      <x:c r="A13" s="11" t="str">
        <x:v>E10</x:v>
      </x:c>
      <x:c r="B13" s="12" t="n">
        <x:v>0</x:v>
      </x:c>
      <x:c r="C13" s="12" t="n">
        <x:v>0.3701925886793526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0.2</x:v>
      </x:c>
      <x:c r="K13" s="12" t="n">
        <x:v>-1.3701925886793525</x:v>
      </x:c>
      <x:c r="L13" s="12" t="n">
        <x:v>0.5599999999999999</x:v>
      </x:c>
      <x:c r="M13" s="12" t="n">
        <x:v>0</x:v>
      </x:c>
      <x:c r="N13" s="12" t="n">
        <x:v>0</x:v>
      </x:c>
      <x:c r="O13" s="12" t="n">
        <x:v>0</x:v>
      </x:c>
      <x:c r="P13" s="12" t="n">
        <x:v>0</x:v>
      </x:c>
      <x:c r="Q13" s="12" t="n">
        <x:v>0</x:v>
      </x:c>
      <x:c r="R13" s="12" t="n">
        <x:v>0</x:v>
      </x:c>
      <x:c r="S13" s="12" t="n">
        <x:v>0.24</x:v>
      </x:c>
      <x:c r="T13" s="12" t="n">
        <x:v>0</x:v>
      </x:c>
      <x:c r="U13" s="12" t="n">
        <x:v>0</x:v>
      </x:c>
    </x:row>
    <x:row r="14">
      <x:c r="A14" s="11" t="str">
        <x:v>E11</x:v>
      </x:c>
      <x:c r="B14" s="12" t="n">
        <x:v>0</x:v>
      </x:c>
      <x:c r="C14" s="12" t="n">
        <x:v>0</x:v>
      </x:c>
      <x:c r="D14" s="12" t="n">
        <x:v>0.3701925886793526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0.2</x:v>
      </x:c>
      <x:c r="L14" s="12" t="n">
        <x:v>-1.3701925886793525</x:v>
      </x:c>
      <x:c r="M14" s="12" t="n">
        <x:v>0.5599999999999999</x:v>
      </x:c>
      <x:c r="N14" s="12" t="n">
        <x:v>0</x:v>
      </x:c>
      <x:c r="O14" s="12" t="n">
        <x:v>0</x:v>
      </x:c>
      <x:c r="P14" s="12" t="n">
        <x:v>0</x:v>
      </x:c>
      <x:c r="Q14" s="12" t="n">
        <x:v>0</x:v>
      </x:c>
      <x:c r="R14" s="12" t="n">
        <x:v>0</x:v>
      </x:c>
      <x:c r="S14" s="12" t="n">
        <x:v>0</x:v>
      </x:c>
      <x:c r="T14" s="12" t="n">
        <x:v>0.24</x:v>
      </x:c>
      <x:c r="U14" s="12" t="n">
        <x:v>0</x:v>
      </x:c>
    </x:row>
    <x:row r="15">
      <x:c r="A15" s="11" t="str">
        <x:v>E12</x:v>
      </x:c>
      <x:c r="B15" s="12" t="n">
        <x:v>0</x:v>
      </x:c>
      <x:c r="C15" s="12" t="n">
        <x:v>0</x:v>
      </x:c>
      <x:c r="D15" s="12" t="n">
        <x:v>0</x:v>
      </x:c>
      <x:c r="E15" s="12" t="n">
        <x:v>0.3701925886793526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0.2</x:v>
      </x:c>
      <x:c r="M15" s="12" t="n">
        <x:v>-0.8101925886793526</x:v>
      </x:c>
      <x:c r="N15" s="12" t="n">
        <x:v>0</x:v>
      </x:c>
      <x:c r="O15" s="12" t="n">
        <x:v>0</x:v>
      </x:c>
      <x:c r="P15" s="12" t="n">
        <x:v>0</x:v>
      </x:c>
      <x:c r="Q15" s="12" t="n">
        <x:v>0</x:v>
      </x:c>
      <x:c r="R15" s="12" t="n">
        <x:v>0</x:v>
      </x:c>
      <x:c r="S15" s="12" t="n">
        <x:v>0</x:v>
      </x:c>
      <x:c r="T15" s="12" t="n">
        <x:v>0</x:v>
      </x:c>
      <x:c r="U15" s="12" t="n">
        <x:v>0.24</x:v>
      </x:c>
    </x:row>
    <x:row r="16">
      <x:c r="A16" s="11" t="str">
        <x:v>E13</x:v>
      </x:c>
      <x:c r="B16" s="12" t="n">
        <x:v>0</x:v>
      </x:c>
      <x:c r="C16" s="12" t="n">
        <x:v>0</x:v>
      </x:c>
      <x:c r="D16" s="12" t="n">
        <x:v>0</x:v>
      </x:c>
      <x:c r="E16" s="12" t="n">
        <x:v>0</x:v>
      </x:c>
      <x:c r="F16" s="12" t="n">
        <x:v>0.0022212044240956423</x:v>
      </x:c>
      <x:c r="G16" s="12" t="n">
        <x:v>0</x:v>
      </x:c>
      <x:c r="H16" s="12" t="n">
        <x:v>0</x:v>
      </x:c>
      <x:c r="I16" s="12" t="n">
        <x:v>0</x:v>
      </x:c>
      <x:c r="J16" s="12" t="n">
        <x:v>0.027586206896551727</x:v>
      </x:c>
      <x:c r="K16" s="12" t="n">
        <x:v>0</x:v>
      </x:c>
      <x:c r="L16" s="12" t="n">
        <x:v>0</x:v>
      </x:c>
      <x:c r="M16" s="12" t="n">
        <x:v>0</x:v>
      </x:c>
      <x:c r="N16" s="12" t="n">
        <x:v>-0.5898074113206474</x:v>
      </x:c>
      <x:c r="O16" s="12" t="n">
        <x:v>0.5599999999999999</x:v>
      </x:c>
      <x:c r="P16" s="12" t="n">
        <x:v>0</x:v>
      </x:c>
      <x:c r="Q16" s="12" t="n">
        <x:v>0</x:v>
      </x:c>
      <x:c r="R16" s="12" t="n">
        <x:v>0</x:v>
      </x:c>
      <x:c r="S16" s="12" t="n">
        <x:v>0</x:v>
      </x:c>
      <x:c r="T16" s="12" t="n">
        <x:v>0</x:v>
      </x:c>
      <x:c r="U16" s="12" t="n">
        <x:v>0</x:v>
      </x:c>
    </x:row>
    <x:row r="17">
      <x:c r="A17" s="11" t="str">
        <x:v>E14</x:v>
      </x:c>
      <x:c r="B17" s="12" t="n">
        <x:v>0</x:v>
      </x:c>
      <x:c r="C17" s="12" t="n">
        <x:v>0</x:v>
      </x:c>
      <x:c r="D17" s="12" t="n">
        <x:v>0</x:v>
      </x:c>
      <x:c r="E17" s="12" t="n">
        <x:v>0</x:v>
      </x:c>
      <x:c r="F17" s="12" t="n">
        <x:v>0</x:v>
      </x:c>
      <x:c r="G17" s="12" t="n">
        <x:v>0.0022212044240956423</x:v>
      </x:c>
      <x:c r="H17" s="12" t="n">
        <x:v>0</x:v>
      </x:c>
      <x:c r="I17" s="12" t="n">
        <x:v>0</x:v>
      </x:c>
      <x:c r="J17" s="12" t="n">
        <x:v>0</x:v>
      </x:c>
      <x:c r="K17" s="12" t="n">
        <x:v>0.027586206896551727</x:v>
      </x:c>
      <x:c r="L17" s="12" t="n">
        <x:v>0</x:v>
      </x:c>
      <x:c r="M17" s="12" t="n">
        <x:v>0</x:v>
      </x:c>
      <x:c r="N17" s="12" t="n">
        <x:v>0.2</x:v>
      </x:c>
      <x:c r="O17" s="12" t="n">
        <x:v>-0.7898074113206474</x:v>
      </x:c>
      <x:c r="P17" s="12" t="n">
        <x:v>0.5599999999999999</x:v>
      </x:c>
      <x:c r="Q17" s="12" t="n">
        <x:v>0</x:v>
      </x:c>
      <x:c r="R17" s="12" t="n">
        <x:v>0</x:v>
      </x:c>
      <x:c r="S17" s="12" t="n">
        <x:v>0</x:v>
      </x:c>
      <x:c r="T17" s="12" t="n">
        <x:v>0</x:v>
      </x:c>
      <x:c r="U17" s="12" t="n">
        <x:v>0</x:v>
      </x:c>
    </x:row>
    <x:row r="18">
      <x:c r="A18" s="11" t="str">
        <x:v>E15</x:v>
      </x:c>
      <x:c r="B18" s="12" t="n">
        <x:v>0</x:v>
      </x:c>
      <x:c r="C18" s="12" t="n">
        <x:v>0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0.0022212044240956423</x:v>
      </x:c>
      <x:c r="I18" s="12" t="n">
        <x:v>0</x:v>
      </x:c>
      <x:c r="J18" s="12" t="n">
        <x:v>0</x:v>
      </x:c>
      <x:c r="K18" s="12" t="n">
        <x:v>0</x:v>
      </x:c>
      <x:c r="L18" s="12" t="n">
        <x:v>0.027586206896551727</x:v>
      </x:c>
      <x:c r="M18" s="12" t="n">
        <x:v>0</x:v>
      </x:c>
      <x:c r="N18" s="12" t="n">
        <x:v>0</x:v>
      </x:c>
      <x:c r="O18" s="12" t="n">
        <x:v>0.2</x:v>
      </x:c>
      <x:c r="P18" s="12" t="n">
        <x:v>-0.7898074113206475</x:v>
      </x:c>
      <x:c r="Q18" s="12" t="n">
        <x:v>0.5599999999999999</x:v>
      </x:c>
      <x:c r="R18" s="12" t="n">
        <x:v>0</x:v>
      </x:c>
      <x:c r="S18" s="12" t="n">
        <x:v>0</x:v>
      </x:c>
      <x:c r="T18" s="12" t="n">
        <x:v>0</x:v>
      </x:c>
      <x:c r="U18" s="12" t="n">
        <x:v>0</x:v>
      </x:c>
    </x:row>
    <x:row r="19">
      <x:c r="A19" s="11" t="str">
        <x:v>E16</x:v>
      </x:c>
      <x:c r="B19" s="12" t="n">
        <x:v>0</x:v>
      </x:c>
      <x:c r="C19" s="12" t="n">
        <x:v>0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0.0022212044240956423</x:v>
      </x:c>
      <x:c r="J19" s="12" t="n">
        <x:v>0</x:v>
      </x:c>
      <x:c r="K19" s="12" t="n">
        <x:v>0</x:v>
      </x:c>
      <x:c r="L19" s="12" t="n">
        <x:v>0</x:v>
      </x:c>
      <x:c r="M19" s="12" t="n">
        <x:v>0.027586206896551727</x:v>
      </x:c>
      <x:c r="N19" s="12" t="n">
        <x:v>0</x:v>
      </x:c>
      <x:c r="O19" s="12" t="n">
        <x:v>0</x:v>
      </x:c>
      <x:c r="P19" s="12" t="n">
        <x:v>0.2</x:v>
      </x:c>
      <x:c r="Q19" s="12" t="n">
        <x:v>-0.2298074113206474</x:v>
      </x:c>
      <x:c r="R19" s="12" t="n">
        <x:v>0</x:v>
      </x:c>
      <x:c r="S19" s="12" t="n">
        <x:v>0</x:v>
      </x:c>
      <x:c r="T19" s="12" t="n">
        <x:v>0</x:v>
      </x:c>
      <x:c r="U19" s="12" t="n">
        <x:v>0</x:v>
      </x:c>
    </x:row>
    <x:row r="20">
      <x:c r="A20" s="11" t="str">
        <x:v>E17</x:v>
      </x:c>
      <x:c r="B20" s="12" t="n">
        <x:v>0</x:v>
      </x:c>
      <x:c r="C20" s="12" t="n">
        <x:v>0</x:v>
      </x:c>
      <x:c r="D20" s="12" t="n">
        <x:v>0</x:v>
      </x:c>
      <x:c r="E20" s="12" t="n">
        <x:v>0</x:v>
      </x:c>
      <x:c r="F20" s="12" t="n">
        <x:v>0.027586206896551727</x:v>
      </x:c>
      <x:c r="G20" s="12" t="n">
        <x:v>0</x:v>
      </x:c>
      <x:c r="H20" s="12" t="n">
        <x:v>0</x:v>
      </x:c>
      <x:c r="I20" s="12" t="n">
        <x:v>0</x:v>
      </x:c>
      <x:c r="J20" s="12" t="n">
        <x:v>0.3426063817828009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n">
        <x:v>0</x:v>
      </x:c>
      <x:c r="P20" s="12" t="n">
        <x:v>0</x:v>
      </x:c>
      <x:c r="Q20" s="12" t="n">
        <x:v>0</x:v>
      </x:c>
      <x:c r="R20" s="12" t="n">
        <x:v>-0.9301925886793525</x:v>
      </x:c>
      <x:c r="S20" s="12" t="n">
        <x:v>0.5599999999999999</x:v>
      </x:c>
      <x:c r="T20" s="12" t="n">
        <x:v>0</x:v>
      </x:c>
      <x:c r="U20" s="12" t="n">
        <x:v>0</x:v>
      </x:c>
    </x:row>
    <x:row r="21">
      <x:c r="A21" s="11" t="str">
        <x:v>E18</x:v>
      </x:c>
      <x:c r="B21" s="12" t="n">
        <x:v>0</x:v>
      </x:c>
      <x:c r="C21" s="12" t="n">
        <x:v>0</x:v>
      </x:c>
      <x:c r="D21" s="12" t="n">
        <x:v>0</x:v>
      </x:c>
      <x:c r="E21" s="12" t="n">
        <x:v>0</x:v>
      </x:c>
      <x:c r="F21" s="12" t="n">
        <x:v>0</x:v>
      </x:c>
      <x:c r="G21" s="12" t="n">
        <x:v>0.027586206896551727</x:v>
      </x:c>
      <x:c r="H21" s="12" t="n">
        <x:v>0</x:v>
      </x:c>
      <x:c r="I21" s="12" t="n">
        <x:v>0</x:v>
      </x:c>
      <x:c r="J21" s="12" t="n">
        <x:v>0</x:v>
      </x:c>
      <x:c r="K21" s="12" t="n">
        <x:v>0.3426063817828009</x:v>
      </x:c>
      <x:c r="L21" s="12" t="n">
        <x:v>0</x:v>
      </x:c>
      <x:c r="M21" s="12" t="n">
        <x:v>0</x:v>
      </x:c>
      <x:c r="N21" s="12" t="n">
        <x:v>0</x:v>
      </x:c>
      <x:c r="O21" s="12" t="n">
        <x:v>0</x:v>
      </x:c>
      <x:c r="P21" s="12" t="n">
        <x:v>0</x:v>
      </x:c>
      <x:c r="Q21" s="12" t="n">
        <x:v>0</x:v>
      </x:c>
      <x:c r="R21" s="12" t="n">
        <x:v>0.2</x:v>
      </x:c>
      <x:c r="S21" s="12" t="n">
        <x:v>-1.1301925886793525</x:v>
      </x:c>
      <x:c r="T21" s="12" t="n">
        <x:v>0.5599999999999999</x:v>
      </x:c>
      <x:c r="U21" s="12" t="n">
        <x:v>0</x:v>
      </x:c>
    </x:row>
    <x:row r="22">
      <x:c r="A22" s="11" t="str">
        <x:v>E19</x:v>
      </x:c>
      <x:c r="B22" s="12" t="n">
        <x:v>0</x:v>
      </x:c>
      <x:c r="C22" s="12" t="n">
        <x:v>0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0.027586206896551727</x:v>
      </x:c>
      <x:c r="I22" s="12" t="n">
        <x:v>0</x:v>
      </x:c>
      <x:c r="J22" s="12" t="n">
        <x:v>0</x:v>
      </x:c>
      <x:c r="K22" s="12" t="n">
        <x:v>0</x:v>
      </x:c>
      <x:c r="L22" s="12" t="n">
        <x:v>0.3426063817828009</x:v>
      </x:c>
      <x:c r="M22" s="12" t="n">
        <x:v>0</x:v>
      </x:c>
      <x:c r="N22" s="12" t="n">
        <x:v>0</x:v>
      </x:c>
      <x:c r="O22" s="12" t="n">
        <x:v>0</x:v>
      </x:c>
      <x:c r="P22" s="12" t="n">
        <x:v>0</x:v>
      </x:c>
      <x:c r="Q22" s="12" t="n">
        <x:v>0</x:v>
      </x:c>
      <x:c r="R22" s="12" t="n">
        <x:v>0</x:v>
      </x:c>
      <x:c r="S22" s="12" t="n">
        <x:v>0.2</x:v>
      </x:c>
      <x:c r="T22" s="12" t="n">
        <x:v>-1.1301925886793525</x:v>
      </x:c>
      <x:c r="U22" s="12" t="n">
        <x:v>0.5599999999999999</x:v>
      </x:c>
    </x:row>
    <x:row r="23">
      <x:c r="A23" s="11" t="str">
        <x:v>E20</x:v>
      </x:c>
      <x:c r="B23" s="12" t="n">
        <x:v>0</x:v>
      </x:c>
      <x:c r="C23" s="12" t="n">
        <x:v>0</x:v>
      </x:c>
      <x:c r="D23" s="12" t="n">
        <x:v>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0.027586206896551727</x:v>
      </x:c>
      <x:c r="J23" s="12" t="n">
        <x:v>0</x:v>
      </x:c>
      <x:c r="K23" s="12" t="n">
        <x:v>0</x:v>
      </x:c>
      <x:c r="L23" s="12" t="n">
        <x:v>0</x:v>
      </x:c>
      <x:c r="M23" s="12" t="n">
        <x:v>0.3426063817828009</x:v>
      </x:c>
      <x:c r="N23" s="12" t="n">
        <x:v>0</x:v>
      </x:c>
      <x:c r="O23" s="12" t="n">
        <x:v>0</x:v>
      </x:c>
      <x:c r="P23" s="12" t="n">
        <x:v>0</x:v>
      </x:c>
      <x:c r="Q23" s="12" t="n">
        <x:v>0</x:v>
      </x:c>
      <x:c r="R23" s="12" t="n">
        <x:v>0</x:v>
      </x:c>
      <x:c r="S23" s="12" t="n">
        <x:v>0</x:v>
      </x:c>
      <x:c r="T23" s="12" t="n">
        <x:v>0.2</x:v>
      </x:c>
      <x:c r="U23" s="12" t="n">
        <x:v>-0.5701925886793526</x:v>
      </x:c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</x:row>
    <x:row r="25">
      <x:c r="A25" s="8" t="str">
        <x:v>pQ</x:v>
      </x:c>
      <x:c r="B25" s="25" t="n">
        <x:f>SUMPRODUCT('СИСТЕМА_2'!$C$4:$C$23,B$4:B$23)</x:f>
        <x:v>6.028164079019405e-17</x:v>
      </x:c>
      <x:c r="C25" s="25" t="n">
        <x:f>SUMPRODUCT('СИСТЕМА_2'!$C$4:$C$23,C$4:C$23)</x:f>
        <x:v>-2.0816681711721685e-17</x:v>
      </x:c>
      <x:c r="D25" s="25" t="n">
        <x:f>SUMPRODUCT('СИСТЕМА_2'!$C$4:$C$23,D$4:D$23)</x:f>
        <x:v>3.469446951953614e-18</x:v>
      </x:c>
      <x:c r="E25" s="25" t="n">
        <x:f>SUMPRODUCT('СИСТЕМА_2'!$C$4:$C$23,E$4:E$23)</x:f>
        <x:v>-2.7755575615628914e-17</x:v>
      </x:c>
      <x:c r="F25" s="25" t="n">
        <x:f>SUMPRODUCT('СИСТЕМА_2'!$C$4:$C$23,F$4:F$23)</x:f>
        <x:v>-1.734723475976807e-18</x:v>
      </x:c>
      <x:c r="G25" s="25" t="n">
        <x:f>SUMPRODUCT('СИСТЕМА_2'!$C$4:$C$23,G$4:G$23)</x:f>
        <x:v>-1.1926223897340549e-18</x:v>
      </x:c>
      <x:c r="H25" s="25" t="n">
        <x:f>SUMPRODUCT('СИСТЕМА_2'!$C$4:$C$23,H$4:H$23)</x:f>
        <x:v>-1.0842021724855044e-19</x:v>
      </x:c>
      <x:c r="I25" s="25" t="n">
        <x:f>SUMPRODUCT('СИСТЕМА_2'!$C$4:$C$23,I$4:I$23)</x:f>
        <x:v>1.734723475976807e-18</x:v>
      </x:c>
      <x:c r="J25" s="25" t="n">
        <x:f>SUMPRODUCT('СИСТЕМА_2'!$C$4:$C$23,J$4:J$23)</x:f>
        <x:v>-2.3201926491189795e-17</x:v>
      </x:c>
      <x:c r="K25" s="25" t="n">
        <x:f>SUMPRODUCT('СИСТЕМА_2'!$C$4:$C$23,K$4:K$23)</x:f>
        <x:v>-9.107298248878237e-18</x:v>
      </x:c>
      <x:c r="L25" s="25" t="n">
        <x:f>SUMPRODUCT('СИСТЕМА_2'!$C$4:$C$23,L$4:L$23)</x:f>
        <x:v>1.0408340855860843e-17</x:v>
      </x:c>
      <x:c r="M25" s="25" t="n">
        <x:f>SUMPRODUCT('СИСТЕМА_2'!$C$4:$C$23,M$4:M$23)</x:f>
        <x:v>4.163336342344337e-17</x:v>
      </x:c>
      <x:c r="N25" s="25" t="n">
        <x:f>SUMPRODUCT('СИСТЕМА_2'!$C$4:$C$23,N$4:N$23)</x:f>
        <x:v>8.673617379884035e-19</x:v>
      </x:c>
      <x:c r="O25" s="25" t="n">
        <x:f>SUMPRODUCT('СИСТЕМА_2'!$C$4:$C$23,O$4:O$23)</x:f>
        <x:v>1.734723475976807e-18</x:v>
      </x:c>
      <x:c r="P25" s="25" t="n">
        <x:f>SUMPRODUCT('СИСТЕМА_2'!$C$4:$C$23,P$4:P$23)</x:f>
        <x:v>0</x:v>
      </x:c>
      <x:c r="Q25" s="25" t="n">
        <x:f>SUMPRODUCT('СИСТЕМА_2'!$C$4:$C$23,Q$4:Q$23)</x:f>
        <x:v>-2.0816681711721685e-17</x:v>
      </x:c>
      <x:c r="R25" s="25" t="n">
        <x:f>SUMPRODUCT('СИСТЕМА_2'!$C$4:$C$23,R$4:R$23)</x:f>
        <x:v>-8.673617379884035e-19</x:v>
      </x:c>
      <x:c r="S25" s="25" t="n">
        <x:f>SUMPRODUCT('СИСТЕМА_2'!$C$4:$C$23,S$4:S$23)</x:f>
        <x:v>3.469446951953614e-18</x:v>
      </x:c>
      <x:c r="T25" s="25" t="n">
        <x:f>SUMPRODUCT('СИСТЕМА_2'!$C$4:$C$23,T$4:T$23)</x:f>
        <x:v>0</x:v>
      </x:c>
      <x:c r="U25" s="25" t="n">
        <x:f>SUMPRODUCT('СИСТЕМА_2'!$C$4:$C$23,U$4:U$23)</x:f>
        <x:v>-2.0816681711721685e-17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5" topLeftCell="A1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26" t="str">
        <x:v>Сравнение СИСТЕМЫ_1 и СИСТЕМЫ_2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>
      <x:c r="A3" s="8" t="str">
        <x:v>Характеристика при λ=0,8</x:v>
      </x:c>
      <x:c r="B3" s="8" t="str">
        <x:v>СИСТЕМА_1</x:v>
      </x:c>
      <x:c r="C3" s="8" t="str">
        <x:v>СИСТЕМА_2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11" t="str">
        <x:v>Суммарная загрузка</x:v>
      </x:c>
      <x:c r="B4" s="12" t="n">
        <x:v>2.0597118113674404</x:v>
      </x:c>
      <x:c r="C4" s="12" t="n">
        <x:v>1.6483100863101454</x:v>
      </x:c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>
      <x:c r="A5" s="11" t="str">
        <x:v>Суммарная длина очередей</x:v>
      </x:c>
      <x:c r="B5" s="12" t="n">
        <x:v>0.932028236663998</x:v>
      </x:c>
      <x:c r="C5" s="12" t="n">
        <x:v>1.9753008548828492</x:v>
      </x:c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>
      <x:c r="A6" s="11" t="str">
        <x:v>Среднее число заявок</x:v>
      </x:c>
      <x:c r="B6" s="12" t="n">
        <x:v>2.9917400480314384</x:v>
      </x:c>
      <x:c r="C6" s="12" t="n">
        <x:v>3.6236109411929944</x:v>
      </x:c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</x:row>
    <x:row r="7">
      <x:c r="A7" s="11" t="str">
        <x:v>Среднее время ожидания, с</x:v>
      </x:c>
      <x:c r="B7" s="12" t="n">
        <x:v>2.262520978712128</x:v>
      </x:c>
      <x:c r="C7" s="12" t="n">
        <x:v>5.991897007997732</x:v>
      </x:c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</x:row>
    <x:row r="8">
      <x:c r="A8" s="11" t="str">
        <x:v>Среднее время пребывания, с</x:v>
      </x:c>
      <x:c r="B8" s="12" t="n">
        <x:v>7.2625209787121285</x:v>
      </x:c>
      <x:c r="C8" s="12" t="n">
        <x:v>10.99189700799773</x:v>
      </x:c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</x:row>
    <x:row r="9">
      <x:c r="A9" s="11" t="str">
        <x:v>Вероятность потери</x:v>
      </x:c>
      <x:c r="B9" s="12" t="n">
        <x:v>0.4850720471581399</x:v>
      </x:c>
      <x:c r="C9" s="12" t="n">
        <x:v>0.5879224784224636</x:v>
      </x:c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</x:row>
    <x:row r="10">
      <x:c r="A10" s="11" t="str">
        <x:v>Производительность, 1/с</x:v>
      </x:c>
      <x:c r="B10" s="12" t="n">
        <x:v>0.4119423622734881</x:v>
      </x:c>
      <x:c r="C10" s="12" t="n">
        <x:v>0.3296620172620291</x:v>
      </x:c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</x:row>
    <x:row r="12">
      <x:c r="A12" s="26" t="str">
        <x:v>Вывод по критерию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</x:row>
    <x:row r="13">
      <x:c r="A13" s="23" t="str">
        <x:v>По критерию максимальной производительности выбирается СИСТЕМА_1: 0,411942 заявок/с против 0,329662 заявок/с.</x:v>
      </x:c>
      <x:c r="B13" s="23"/>
      <x:c r="C13" s="23"/>
      <x:c r="D13" s="23"/>
      <x:c r="E13" s="23"/>
      <x:c r="F13" s="23"/>
      <x:c r="G13" s="23"/>
      <x:c r="H13" s="9"/>
      <x:c r="I13" s="9"/>
      <x:c r="J13" s="9"/>
      <x:c r="K13" s="9"/>
      <x:c r="L13" s="9"/>
      <x:c r="M13" s="9"/>
      <x:c r="N13" s="9"/>
      <x:c r="O13" s="9"/>
      <x:c r="P13" s="9"/>
      <x:c r="Q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</x:row>
    <x:row r="15">
      <x:c r="A15" s="8" t="str">
        <x:v>λ, 1/с</x:v>
      </x:c>
      <x:c r="B15" s="8" t="str">
        <x:v>λ' СИСТЕМА_1</x:v>
      </x:c>
      <x:c r="C15" s="8" t="str">
        <x:v>λ' СИСТЕМА_2</x:v>
      </x:c>
      <x:c r="D15" s="8" t="str">
        <x:v>π СИСТЕМА_1</x:v>
      </x:c>
      <x:c r="E15" s="8" t="str">
        <x:v>π СИСТЕМА_2</x:v>
      </x:c>
      <x:c r="F15" s="8" t="str">
        <x:v>u СИСТЕМА_1, с</x:v>
      </x:c>
      <x:c r="G15" s="8" t="str">
        <x:v>u СИСТЕМА_2, с</x:v>
      </x:c>
      <x:c r="H15" s="9"/>
      <x:c r="I15" s="9"/>
      <x:c r="J15" s="9"/>
      <x:c r="K15" s="9"/>
      <x:c r="L15" s="9"/>
      <x:c r="M15" s="9"/>
      <x:c r="N15" s="9"/>
      <x:c r="O15" s="9"/>
      <x:c r="P15" s="9"/>
      <x:c r="Q15" s="9"/>
    </x:row>
    <x:row r="16">
      <x:c r="A16" s="12" t="n">
        <x:v>0.1</x:v>
      </x:c>
      <x:c r="B16" s="12" t="n">
        <x:v>0.09486063998850386</x:v>
      </x:c>
      <x:c r="C16" s="12" t="n">
        <x:v>0.09677594917910154</x:v>
      </x:c>
      <x:c r="D16" s="12" t="n">
        <x:v>0.05139360011496141</x:v>
      </x:c>
      <x:c r="E16" s="12" t="n">
        <x:v>0.0322405082089845</x:v>
      </x:c>
      <x:c r="F16" s="12" t="n">
        <x:v>5.620659882613247</x:v>
      </x:c>
      <x:c r="G16" s="12" t="n">
        <x:v>6.84834485929837</x:v>
      </x:c>
      <x:c r="H16" s="9"/>
      <x:c r="I16" s="9"/>
      <x:c r="J16" s="9"/>
      <x:c r="K16" s="9"/>
      <x:c r="L16" s="9"/>
      <x:c r="M16" s="9"/>
      <x:c r="N16" s="9"/>
      <x:c r="O16" s="9"/>
      <x:c r="P16" s="9"/>
      <x:c r="Q16" s="9"/>
    </x:row>
    <x:row r="17">
      <x:c r="A17" s="12" t="n">
        <x:v>0.2</x:v>
      </x:c>
      <x:c r="B17" s="12" t="n">
        <x:v>0.17508636358689147</x:v>
      </x:c>
      <x:c r="C17" s="12" t="n">
        <x:v>0.17455942228758775</x:v>
      </x:c>
      <x:c r="D17" s="12" t="n">
        <x:v>0.12456818206554265</x:v>
      </x:c>
      <x:c r="E17" s="12" t="n">
        <x:v>0.1272028885620612</x:v>
      </x:c>
      <x:c r="F17" s="12" t="n">
        <x:v>6.069699554167526</x:v>
      </x:c>
      <x:c r="G17" s="12" t="n">
        <x:v>8.278646371904493</x:v>
      </x:c>
      <x:c r="H17" s="9"/>
      <x:c r="I17" s="9"/>
      <x:c r="J17" s="9"/>
      <x:c r="K17" s="9"/>
      <x:c r="L17" s="9"/>
      <x:c r="M17" s="9"/>
      <x:c r="N17" s="9"/>
      <x:c r="O17" s="9"/>
      <x:c r="P17" s="9"/>
      <x:c r="Q17" s="9"/>
    </x:row>
    <x:row r="18">
      <x:c r="A18" s="12" t="n">
        <x:v>0.3</x:v>
      </x:c>
      <x:c r="B18" s="12" t="n">
        <x:v>0.23964754037414773</x:v>
      </x:c>
      <x:c r="C18" s="12" t="n">
        <x:v>0.2277923377981929</x:v>
      </x:c>
      <x:c r="D18" s="12" t="n">
        <x:v>0.20117486541950758</x:v>
      </x:c>
      <x:c r="E18" s="12" t="n">
        <x:v>0.24069220733935692</x:v>
      </x:c>
      <x:c r="F18" s="12" t="n">
        <x:v>6.403675187559816</x:v>
      </x:c>
      <x:c r="G18" s="12" t="n">
        <x:v>9.251999196721869</x:v>
      </x:c>
      <x:c r="H18" s="9"/>
      <x:c r="I18" s="9"/>
      <x:c r="J18" s="9"/>
      <x:c r="K18" s="9"/>
      <x:c r="L18" s="9"/>
      <x:c r="M18" s="9"/>
      <x:c r="N18" s="9"/>
      <x:c r="O18" s="9"/>
      <x:c r="P18" s="9"/>
      <x:c r="Q18" s="9"/>
    </x:row>
    <x:row r="19">
      <x:c r="A19" s="12" t="n">
        <x:v>0.4</x:v>
      </x:c>
      <x:c r="B19" s="12" t="n">
        <x:v>0.290825112332756</x:v>
      </x:c>
      <x:c r="C19" s="12" t="n">
        <x:v>0.2631884915912138</x:v>
      </x:c>
      <x:c r="D19" s="12" t="n">
        <x:v>0.2729372191681101</x:v>
      </x:c>
      <x:c r="E19" s="12" t="n">
        <x:v>0.3420287710219654</x:v>
      </x:c>
      <x:c r="F19" s="12" t="n">
        <x:v>6.659301201491507</x:v>
      </x:c>
      <x:c r="G19" s="12" t="n">
        <x:v>9.890954930328236</x:v>
      </x:c>
      <x:c r="H19" s="9"/>
      <x:c r="I19" s="9"/>
      <x:c r="J19" s="9"/>
      <x:c r="K19" s="9"/>
      <x:c r="L19" s="9"/>
      <x:c r="M19" s="9"/>
      <x:c r="N19" s="9"/>
      <x:c r="O19" s="9"/>
      <x:c r="P19" s="9"/>
      <x:c r="Q19" s="9"/>
    </x:row>
    <x:row r="20">
      <x:c r="A20" s="12" t="n">
        <x:v>0.5</x:v>
      </x:c>
      <x:c r="B20" s="12" t="n">
        <x:v>0.331450415321383</x:v>
      </x:c>
      <x:c r="C20" s="12" t="n">
        <x:v>0.28765976361890105</x:v>
      </x:c>
      <x:c r="D20" s="12" t="n">
        <x:v>0.33709916935723405</x:v>
      </x:c>
      <x:c r="E20" s="12" t="n">
        <x:v>0.4246804727621979</x:v>
      </x:c>
      <x:c r="F20" s="12" t="n">
        <x:v>6.860052376300014</x:v>
      </x:c>
      <x:c r="G20" s="12" t="n">
        <x:v>10.3181601446348</x:v>
      </x:c>
      <x:c r="H20" s="9"/>
      <x:c r="I20" s="9"/>
      <x:c r="J20" s="9"/>
      <x:c r="K20" s="9"/>
      <x:c r="L20" s="9"/>
      <x:c r="M20" s="9"/>
      <x:c r="N20" s="9"/>
      <x:c r="O20" s="9"/>
      <x:c r="P20" s="9"/>
      <x:c r="Q20" s="9"/>
    </x:row>
    <x:row r="21">
      <x:c r="A21" s="12" t="n">
        <x:v>0.6</x:v>
      </x:c>
      <x:c r="B21" s="12" t="n">
        <x:v>0.3639806537584334</x:v>
      </x:c>
      <x:c r="C21" s="12" t="n">
        <x:v>0.3054693113817194</x:v>
      </x:c>
      <x:c r="D21" s="12" t="n">
        <x:v>0.39336557706927766</x:v>
      </x:c>
      <x:c r="E21" s="12" t="n">
        <x:v>0.49088448103046767</x:v>
      </x:c>
      <x:c r="F21" s="12" t="n">
        <x:v>7.0212104062091125</x:v>
      </x:c>
      <x:c r="G21" s="12" t="n">
        <x:v>10.614861172916212</x:v>
      </x:c>
      <x:c r="H21" s="9"/>
      <x:c r="I21" s="9"/>
      <x:c r="J21" s="9"/>
      <x:c r="K21" s="9"/>
      <x:c r="L21" s="9"/>
      <x:c r="M21" s="9"/>
      <x:c r="N21" s="9"/>
      <x:c r="O21" s="9"/>
      <x:c r="P21" s="9"/>
      <x:c r="Q21" s="9"/>
    </x:row>
    <x:row r="22">
      <x:c r="A22" s="12" t="n">
        <x:v>0.7</x:v>
      </x:c>
      <x:c r="B22" s="12" t="n">
        <x:v>0.3903317242518117</x:v>
      </x:c>
      <x:c r="C22" s="12" t="n">
        <x:v>0.319012082894301</x:v>
      </x:c>
      <x:c r="D22" s="12" t="n">
        <x:v>0.44238325106884047</x:v>
      </x:c>
      <x:c r="E22" s="12" t="n">
        <x:v>0.5442684530081414</x:v>
      </x:c>
      <x:c r="F22" s="12" t="n">
        <x:v>7.153011726417246</x:v>
      </x:c>
      <x:c r="G22" s="12" t="n">
        <x:v>10.829809091638026</x:v>
      </x:c>
      <x:c r="H22" s="9"/>
      <x:c r="I22" s="9"/>
      <x:c r="J22" s="9"/>
      <x:c r="K22" s="9"/>
      <x:c r="L22" s="9"/>
      <x:c r="M22" s="9"/>
      <x:c r="N22" s="9"/>
      <x:c r="O22" s="9"/>
      <x:c r="P22" s="9"/>
      <x:c r="Q22" s="9"/>
    </x:row>
    <x:row r="23">
      <x:c r="A23" s="12" t="n">
        <x:v>0.8</x:v>
      </x:c>
      <x:c r="B23" s="12" t="n">
        <x:v>0.4119423622734881</x:v>
      </x:c>
      <x:c r="C23" s="12" t="n">
        <x:v>0.3296620172620291</x:v>
      </x:c>
      <x:c r="D23" s="12" t="n">
        <x:v>0.4850720471581399</x:v>
      </x:c>
      <x:c r="E23" s="12" t="n">
        <x:v>0.5879224784224636</x:v>
      </x:c>
      <x:c r="F23" s="12" t="n">
        <x:v>7.2625209787121285</x:v>
      </x:c>
      <x:c r="G23" s="12" t="n">
        <x:v>10.99189700799773</x:v>
      </x:c>
      <x:c r="H23" s="9"/>
      <x:c r="I23" s="9"/>
      <x:c r="J23" s="9"/>
      <x:c r="K23" s="9"/>
      <x:c r="L23" s="9"/>
      <x:c r="M23" s="9"/>
      <x:c r="N23" s="9"/>
      <x:c r="O23" s="9"/>
      <x:c r="P23" s="9"/>
      <x:c r="Q23" s="9"/>
    </x:row>
    <x:row r="24">
      <x:c r="A24" s="12" t="n">
        <x:v>0.9</x:v>
      </x:c>
      <x:c r="B24" s="12" t="n">
        <x:v>0.42988174563422704</x:v>
      </x:c>
      <x:c r="C24" s="12" t="n">
        <x:v>0.33825088866081154</x:v>
      </x:c>
      <x:c r="D24" s="12" t="n">
        <x:v>0.5223536159619699</x:v>
      </x:c>
      <x:c r="E24" s="12" t="n">
        <x:v>0.6241656792657649</x:v>
      </x:c>
      <x:c r="F24" s="12" t="n">
        <x:v>7.354750676991498</x:v>
      </x:c>
      <x:c r="G24" s="12" t="n">
        <x:v>11.118556381229007</x:v>
      </x:c>
      <x:c r="H24" s="9"/>
      <x:c r="I24" s="9"/>
      <x:c r="J24" s="9"/>
      <x:c r="K24" s="9"/>
      <x:c r="L24" s="9"/>
      <x:c r="M24" s="9"/>
      <x:c r="N24" s="9"/>
      <x:c r="O24" s="9"/>
      <x:c r="P24" s="9"/>
      <x:c r="Q24" s="9"/>
    </x:row>
    <x:row r="25">
      <x:c r="A25" s="12" t="n">
        <x:v>1</x:v>
      </x:c>
      <x:c r="B25" s="12" t="n">
        <x:v>0.4449456975772764</x:v>
      </x:c>
      <x:c r="C25" s="12" t="n">
        <x:v>0.3453121112739964</x:v>
      </x:c>
      <x:c r="D25" s="12" t="n">
        <x:v>0.5550543024227236</x:v>
      </x:c>
      <x:c r="E25" s="12" t="n">
        <x:v>0.6546878887260036</x:v>
      </x:c>
      <x:c r="F25" s="12" t="n">
        <x:v>7.433345850544499</x:v>
      </x:c>
      <x:c r="G25" s="12" t="n">
        <x:v>11.220607686003861</x:v>
      </x:c>
      <x:c r="H25" s="9"/>
      <x:c r="I25" s="9"/>
      <x:c r="J25" s="9"/>
      <x:c r="K25" s="9"/>
      <x:c r="L25" s="9"/>
      <x:c r="M25" s="9"/>
      <x:c r="N25" s="9"/>
      <x:c r="O25" s="9"/>
      <x:c r="P25" s="9"/>
      <x:c r="Q25" s="9"/>
    </x:row>
    <x:row r="26">
      <x:c r="A26" s="12" t="n">
        <x:v>1.1</x:v>
      </x:c>
      <x:c r="B26" s="12" t="n">
        <x:v>0.4577308795682081</x:v>
      </x:c>
      <x:c r="C26" s="12" t="n">
        <x:v>0.3512057612828723</x:v>
      </x:c>
      <x:c r="D26" s="12" t="n">
        <x:v>0.5838810185743563</x:v>
      </x:c>
      <x:c r="E26" s="12" t="n">
        <x:v>0.6807220351973888</x:v>
      </x:c>
      <x:c r="F26" s="12" t="n">
        <x:v>7.501014839916373</x:v>
      </x:c>
      <x:c r="G26" s="12" t="n">
        <x:v>11.304983042596112</x:v>
      </x:c>
      <x:c r="H26" s="9"/>
      <x:c r="I26" s="9"/>
      <x:c r="J26" s="9"/>
      <x:c r="K26" s="9"/>
      <x:c r="L26" s="9"/>
      <x:c r="M26" s="9"/>
      <x:c r="N26" s="9"/>
      <x:c r="O26" s="9"/>
      <x:c r="P26" s="9"/>
      <x:c r="Q26" s="9"/>
    </x:row>
    <x:row r="27">
      <x:c r="A27" s="12" t="n">
        <x:v>1.2</x:v>
      </x:c>
      <x:c r="B27" s="12" t="n">
        <x:v>0.46868905507113645</x:v>
      </x:c>
      <x:c r="C27" s="12" t="n">
        <x:v>0.3561854496753657</x:v>
      </x:c>
      <x:c r="D27" s="12" t="n">
        <x:v>0.6094257874407196</x:v>
      </x:c>
      <x:c r="E27" s="12" t="n">
        <x:v>0.7031787919371952</x:v>
      </x:c>
      <x:c r="F27" s="12" t="n">
        <x:v>7.559808317159192</x:v>
      </x:c>
      <x:c r="G27" s="12" t="n">
        <x:v>11.376265527177587</x:v>
      </x:c>
      <x:c r="H27" s="9"/>
      <x:c r="I27" s="9"/>
      <x:c r="J27" s="9"/>
      <x:c r="K27" s="9"/>
      <x:c r="L27" s="9"/>
      <x:c r="M27" s="9"/>
      <x:c r="N27" s="9"/>
      <x:c r="O27" s="9"/>
      <x:c r="P27" s="9"/>
      <x:c r="Q27" s="9"/>
    </x:row>
    <x:row r="28">
      <x:c r="A28" s="12" t="n">
        <x:v>1.3</x:v>
      </x:c>
      <x:c r="B28" s="12" t="n">
        <x:v>0.4781660255542033</x:v>
      </x:c>
      <x:c r="C28" s="12" t="n">
        <x:v>0.36043601390012847</x:v>
      </x:c>
      <x:c r="D28" s="12" t="n">
        <x:v>0.6321799803429206</x:v>
      </x:c>
      <x:c r="E28" s="12" t="n">
        <x:v>0.7227415277691319</x:v>
      </x:c>
      <x:c r="F28" s="12" t="n">
        <x:v>7.611304957521638</x:v>
      </x:c>
      <x:c r="G28" s="12" t="n">
        <x:v>11.437577693203977</x:v>
      </x:c>
      <x:c r="H28" s="9"/>
      <x:c r="I28" s="9"/>
      <x:c r="J28" s="9"/>
      <x:c r="K28" s="9"/>
      <x:c r="L28" s="9"/>
      <x:c r="M28" s="9"/>
      <x:c r="N28" s="9"/>
      <x:c r="O28" s="9"/>
      <x:c r="P28" s="9"/>
      <x:c r="Q28" s="9"/>
    </x:row>
    <x:row r="29">
      <x:c r="A29" s="12" t="n">
        <x:v>1.4</x:v>
      </x:c>
      <x:c r="B29" s="12" t="n">
        <x:v>0.4864294529885904</x:v>
      </x:c>
      <x:c r="C29" s="12" t="n">
        <x:v>0.3640959062169359</x:v>
      </x:c>
      <x:c r="D29" s="12" t="n">
        <x:v>0.6525503907224354</x:v>
      </x:c>
      <x:c r="E29" s="12" t="n">
        <x:v>0.7399314955593315</x:v>
      </x:c>
      <x:c r="F29" s="12" t="n">
        <x:v>7.656738058427737</x:v>
      </x:c>
      <x:c r="G29" s="12" t="n">
        <x:v>11.491107738074733</x:v>
      </x:c>
      <x:c r="H29" s="9"/>
      <x:c r="I29" s="9"/>
      <x:c r="J29" s="9"/>
      <x:c r="K29" s="9"/>
      <x:c r="L29" s="9"/>
      <x:c r="M29" s="9"/>
      <x:c r="N29" s="9"/>
      <x:c r="O29" s="9"/>
      <x:c r="P29" s="9"/>
      <x:c r="Q29" s="9"/>
    </x:row>
    <x:row r="30">
      <x:c r="A30" s="12" t="n">
        <x:v>1.5</x:v>
      </x:c>
      <x:c r="B30" s="12" t="n">
        <x:v>0.49368880468072407</x:v>
      </x:c>
      <x:c r="C30" s="12" t="n">
        <x:v>0.36727114936801797</x:v>
      </x:c>
      <x:c r="D30" s="12" t="n">
        <x:v>0.6708741302128507</x:v>
      </x:c>
      <x:c r="E30" s="12" t="n">
        <x:v>0.755152567087988</x:v>
      </x:c>
      <x:c r="F30" s="12" t="n">
        <x:v>7.697083802723454</x:v>
      </x:c>
      <x:c r="G30" s="12" t="n">
        <x:v>11.538429551760549</x:v>
      </x:c>
      <x:c r="H30" s="9"/>
      <x:c r="I30" s="9"/>
      <x:c r="J30" s="9"/>
      <x:c r="K30" s="9"/>
      <x:c r="L30" s="9"/>
      <x:c r="M30" s="9"/>
      <x:c r="N30" s="9"/>
      <x:c r="O30" s="9"/>
      <x:c r="P30" s="9"/>
      <x:c r="Q30" s="9"/>
    </x:row>
    <x:row r="31">
      <x:c r="A31" s="12" t="n">
        <x:v>1.6</x:v>
      </x:c>
      <x:c r="B31" s="12" t="n">
        <x:v>0.5001097505578709</x:v>
      </x:c>
      <x:c r="C31" s="12" t="n">
        <x:v>0.3700444125538481</x:v>
      </x:c>
      <x:c r="D31" s="12" t="n">
        <x:v>0.6874314059013307</x:v>
      </x:c>
      <x:c r="E31" s="12" t="n">
        <x:v>0.7687222421538449</x:v>
      </x:c>
      <x:c r="F31" s="12" t="n">
        <x:v>7.7331240021852485</x:v>
      </x:c>
      <x:c r="G31" s="12" t="n">
        <x:v>11.580702596976602</x:v>
      </x:c>
      <x:c r="H31" s="9"/>
      <x:c r="I31" s="9"/>
      <x:c r="J31" s="9"/>
      <x:c r="K31" s="9"/>
      <x:c r="L31" s="9"/>
      <x:c r="M31" s="9"/>
      <x:c r="N31" s="9"/>
      <x:c r="O31" s="9"/>
      <x:c r="P31" s="9"/>
      <x:c r="Q31" s="9"/>
    </x:row>
    <x:row r="32">
      <x:c r="A32" s="12" t="n">
        <x:v>1.7</x:v>
      </x:c>
      <x:c r="B32" s="12" t="n">
        <x:v>0.505824648230188</x:v>
      </x:c>
      <x:c r="C32" s="12" t="n">
        <x:v>0.3724811322697854</x:v>
      </x:c>
      <x:c r="D32" s="12" t="n">
        <x:v>0.70245608927636</x:v>
      </x:c>
      <x:c r="E32" s="12" t="n">
        <x:v>0.7808934516060085</x:v>
      </x:c>
      <x:c r="F32" s="12" t="n">
        <x:v>7.765491488627814</x:v>
      </x:c>
      <x:c r="G32" s="12" t="n">
        <x:v>11.618799937030692</x:v>
      </x:c>
      <x:c r="H32" s="9"/>
      <x:c r="I32" s="9"/>
      <x:c r="J32" s="9"/>
      <x:c r="K32" s="9"/>
      <x:c r="L32" s="9"/>
      <x:c r="M32" s="9"/>
      <x:c r="N32" s="9"/>
      <x:c r="O32" s="9"/>
      <x:c r="P32" s="9"/>
      <x:c r="Q32" s="9"/>
    </x:row>
    <x:row r="33">
      <x:c r="A33" s="12" t="n">
        <x:v>1.8</x:v>
      </x:c>
      <x:c r="B33" s="12" t="n">
        <x:v>0.510940253577854</x:v>
      </x:c>
      <x:c r="C33" s="12" t="n">
        <x:v>0.3746337689518019</x:v>
      </x:c>
      <x:c r="D33" s="12" t="n">
        <x:v>0.716144303567859</x:v>
      </x:c>
      <x:c r="E33" s="12" t="n">
        <x:v>0.7918701283601101</x:v>
      </x:c>
      <x:c r="F33" s="12" t="n">
        <x:v>7.794703473024332</x:v>
      </x:c>
      <x:c r="G33" s="12" t="n">
        <x:v>11.653392224512855</x:v>
      </x:c>
      <x:c r="H33" s="9"/>
      <x:c r="I33" s="9"/>
      <x:c r="J33" s="9"/>
      <x:c r="K33" s="9"/>
      <x:c r="L33" s="9"/>
      <x:c r="M33" s="9"/>
      <x:c r="N33" s="9"/>
      <x:c r="O33" s="9"/>
      <x:c r="P33" s="9"/>
      <x:c r="Q33" s="9"/>
    </x:row>
    <x:row r="34">
      <x:c r="A34" s="12" t="n">
        <x:v>1.9</x:v>
      </x:c>
      <x:c r="B34" s="12" t="n">
        <x:v>0.5155434482781927</x:v>
      </x:c>
      <x:c r="C34" s="12" t="n">
        <x:v>0.37654484476370575</x:v>
      </x:c>
      <x:c r="D34" s="12" t="n">
        <x:v>0.7286613430114776</x:v>
      </x:c>
      <x:c r="E34" s="12" t="n">
        <x:v>0.8018185027559444</x:v>
      </x:c>
      <x:c r="F34" s="12" t="n">
        <x:v>7.821186413386948</x:v>
      </x:c>
      <x:c r="G34" s="12" t="n">
        <x:v>11.685004050530548</x:v>
      </x:c>
      <x:c r="H34" s="9"/>
      <x:c r="I34" s="9"/>
      <x:c r="J34" s="9"/>
      <x:c r="K34" s="9"/>
      <x:c r="L34" s="9"/>
      <x:c r="M34" s="9"/>
      <x:c r="N34" s="9"/>
      <x:c r="O34" s="9"/>
      <x:c r="P34" s="9"/>
      <x:c r="Q34" s="9"/>
    </x:row>
    <x:row r="35">
      <x:c r="A35" s="12" t="n">
        <x:v>2</x:v>
      </x:c>
      <x:c r="B35" s="12" t="n">
        <x:v>0.5197055371812651</x:v>
      </x:c>
      <x:c r="C35" s="12" t="n">
        <x:v>0.37824915938130466</x:v>
      </x:c>
      <x:c r="D35" s="12" t="n">
        <x:v>0.7401472314093674</x:v>
      </x:c>
      <x:c r="E35" s="12" t="n">
        <x:v>0.8108754203093477</x:v>
      </x:c>
      <x:c r="F35" s="12" t="n">
        <x:v>7.8452947938906235</x:v>
      </x:c>
      <x:c r="G35" s="12" t="n">
        <x:v>11.714052553397462</x:v>
      </x:c>
      <x:c r="H35" s="9"/>
      <x:c r="I35" s="9"/>
      <x:c r="J35" s="9"/>
      <x:c r="K35" s="9"/>
      <x:c r="L35" s="9"/>
      <x:c r="M35" s="9"/>
      <x:c r="N35" s="9"/>
      <x:c r="O35" s="9"/>
      <x:c r="P35" s="9"/>
      <x:c r="Q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</x:row>
  </x:sheetData>
  <x:pageMargins left="0.7" right="0.7" top="0.75" bottom="0.75" header="0.3" footer="0.3"/>
  <x:drawing xmlns:r="http://schemas.openxmlformats.org/officeDocument/2006/relationships" r:id="Rf69545c195674f7c"/>
</x:worksheet>
</file>