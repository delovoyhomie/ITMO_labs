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drawings/charts/chart4.xml" ContentType="application/vnd.openxmlformats-officedocument.drawingml.char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drawings/charts/chart5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000f57090c43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тоги" sheetId="1" r:id="Rf9da28b8192d4345"/>
    <x:sheet xmlns:r="http://schemas.openxmlformats.org/officeDocument/2006/relationships" name="Статистика" sheetId="2" r:id="Rf83da5268dba4d3e"/>
    <x:sheet xmlns:r="http://schemas.openxmlformats.org/officeDocument/2006/relationships" name="Распределение" sheetId="3" r:id="Re7c6550299604062"/>
    <x:sheet xmlns:r="http://schemas.openxmlformats.org/officeDocument/2006/relationships" name="Автокорреляция" sheetId="4" r:id="R9bb061b960824592"/>
    <x:sheet xmlns:r="http://schemas.openxmlformats.org/officeDocument/2006/relationships" name="Генератор" sheetId="5" r:id="R17bed049ba7e4a9a"/>
    <x:sheet xmlns:r="http://schemas.openxmlformats.org/officeDocument/2006/relationships" name="Исходные данные" sheetId="6" r:id="Rf20f2aa0264f4e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00"/>
    <x:numFmt numFmtId="201" formatCode="0.000000"/>
    <x:numFmt numFmtId="202" formatCode="0.0%"/>
    <x:numFmt numFmtId="203" formatCode="0.000"/>
    <x:numFmt numFmtId="204" formatCode="0.00"/>
  </x:numFmts>
  <x:fonts count="6">
    <x:font>
      <x:sz val="11"/>
      <x:name val="Carlito"/>
    </x:font>
    <x:font>
      <x:b/>
      <x:sz val="12"/>
      <x:color rgb="FF000000"/>
      <x:name val="Arial"/>
    </x:font>
    <x:font>
      <x:b/>
      <x:sz val="10"/>
      <x:color rgb="FF000000"/>
      <x:name val="Arial"/>
    </x:font>
    <x:font>
      <x:sz val="10"/>
      <x:color rgb="FF000000"/>
      <x:name val="Arial"/>
    </x:font>
    <x:font>
      <x:b/>
      <x:sz val="11"/>
      <x:name val="Arial"/>
    </x:font>
    <x:font>
      <x:b/>
      <x:sz val="11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E7E6E6"/>
      </x:patternFill>
    </x:fill>
  </x:fills>
  <x:borders count="2">
    <x:border>
      <x:left/>
      <x:right/>
      <x:top/>
      <x:bottom/>
      <x:diagonal/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 wrapText="1"/>
    </x:xf>
    <x:xf numFmtId="202" fontId="3" fillId="0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0"/>
    </x:xf>
    <x:xf numFmtId="0" fontId="5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0"/>
    </x:xf>
    <x:xf numFmtId="203" fontId="3" fillId="0" borderId="1" xfId="0" applyNumberFormat="1" applyFont="1" applyFill="1" applyBorder="1" applyAlignment="1">
      <x:alignment vertical="center"/>
    </x:xf>
    <x:xf numFmtId="204" fontId="3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410c5a6ed44059" /><Relationship Type="http://schemas.openxmlformats.org/officeDocument/2006/relationships/theme" Target="/xl/theme/theme1.xml" Id="R0307239e5927477e" /><Relationship Type="http://schemas.openxmlformats.org/officeDocument/2006/relationships/sharedStrings" Target="/xl/sharedStrings.xml" Id="Rb4f3e30cc1d6422c" /><Relationship Type="http://schemas.openxmlformats.org/officeDocument/2006/relationships/worksheet" Target="/xl/worksheets/sheet1.xml" Id="Rf9da28b8192d4345" /><Relationship Type="http://schemas.openxmlformats.org/officeDocument/2006/relationships/worksheet" Target="/xl/worksheets/sheet2.xml" Id="Rf83da5268dba4d3e" /><Relationship Type="http://schemas.openxmlformats.org/officeDocument/2006/relationships/worksheet" Target="/xl/worksheets/sheet3.xml" Id="Re7c6550299604062" /><Relationship Type="http://schemas.openxmlformats.org/officeDocument/2006/relationships/worksheet" Target="/xl/worksheets/sheet4.xml" Id="R9bb061b960824592" /><Relationship Type="http://schemas.openxmlformats.org/officeDocument/2006/relationships/worksheet" Target="/xl/worksheets/sheet5.xml" Id="R17bed049ba7e4a9a" /><Relationship Type="http://schemas.openxmlformats.org/officeDocument/2006/relationships/worksheet" Target="/xl/worksheets/sheet6.xml" Id="Rf20f2aa0264f4ef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150423f33b3406d" /><Relationship Type="http://schemas.openxmlformats.org/officeDocument/2006/relationships/chart" Target="/xl/drawings/charts/chart2.xml" Id="R8e24034e2a2b492a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1dbfefa548e244c1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011b1e9b497a407a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e55bc367e89d4e2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Сравнение распределений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Исходная ЧП</c:v>
          </c:tx>
          <c:cat>
            <c:strRef>
              <c:f>'Распределение'!$A$5:$A$19</c:f>
              <c:strCache>
                <c:ptCount val="0"/>
              </c:strCache>
            </c:strRef>
          </c:cat>
          <c:val>
            <c:numRef>
              <c:f>'Распределение'!$B$5:$B$19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Сгенерированная ЧП</c:v>
          </c:tx>
          <c:cat>
            <c:strRef>
              <c:f>'Распределение'!$A$5:$A$19</c:f>
              <c:strCache>
                <c:ptCount val="0"/>
              </c:strCache>
            </c:strRef>
          </c:cat>
          <c:val>
            <c:numRef>
              <c:f>'Распределение'!$C$5:$C$19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Исходная ЧП и модель H2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Исходная ЧП</c:v>
          </c:tx>
          <c:marker>
            <c:symbol val="none"/>
          </c:marker>
          <c:cat>
            <c:strRef>
              <c:f>'Распределение'!$A$5:$A$19</c:f>
              <c:strCache>
                <c:ptCount val="0"/>
              </c:strCache>
            </c:strRef>
          </c:cat>
          <c:val>
            <c:numRef>
              <c:f>'Распределение'!$B$5:$B$19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Теоретическая частота H2</c:v>
          </c:tx>
          <c:marker>
            <c:symbol val="none"/>
          </c:marker>
          <c:cat>
            <c:strRef>
              <c:f>'Распределение'!$A$5:$A$19</c:f>
              <c:strCache>
                <c:ptCount val="0"/>
              </c:strCache>
            </c:strRef>
          </c:cat>
          <c:val>
            <c:numRef>
              <c:f>'Распределение'!$D$5:$D$19</c:f>
              <c:numCache>
                <c:formatCode>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Коэффициенты автокорреляции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Исходная ЧП</c:v>
          </c:tx>
          <c:marker>
            <c:symbol val="none"/>
          </c:marker>
          <c:cat>
            <c:strRef>
              <c:f>'Автокорреляция'!$A$5:$A$14</c:f>
              <c:strCache>
                <c:ptCount val="0"/>
              </c:strCache>
            </c:strRef>
          </c:cat>
          <c:val>
            <c:numRef>
              <c:f>'Автокорреляция'!$B$5:$B$14</c:f>
              <c:numCache>
                <c:formatCode>0.000</c:formatCode>
                <c:ptCount val="0"/>
              </c:numCache>
            </c:numRef>
          </c:val>
          <c:smooth val="0"/>
        </c:ser>
        <c:ser>
          <c:idx val="1"/>
          <c:order val="1"/>
          <c:tx>
            <c:v>Сгенерированная ЧП</c:v>
          </c:tx>
          <c:marker>
            <c:symbol val="none"/>
          </c:marker>
          <c:cat>
            <c:strRef>
              <c:f>'Автокорреляция'!$A$5:$A$14</c:f>
              <c:strCache>
                <c:ptCount val="0"/>
              </c:strCache>
            </c:strRef>
          </c:cat>
          <c:val>
            <c:numRef>
              <c:f>'Автокорреляция'!$C$5:$C$14</c:f>
              <c:numCache>
                <c:formatCode>0.000</c:formatCode>
                <c:ptCount val="0"/>
              </c:numCache>
            </c:numRef>
          </c:val>
          <c:smooth val="0"/>
        </c:ser>
        <c:ser>
          <c:idx val="2"/>
          <c:order val="2"/>
          <c:tx>
            <c:v>Граница 95 %</c:v>
          </c:tx>
          <c:marker>
            <c:symbol val="none"/>
          </c:marker>
          <c:cat>
            <c:strRef>
              <c:f>'Автокорреляция'!$A$5:$A$14</c:f>
              <c:strCache>
                <c:ptCount val="0"/>
              </c:strCache>
            </c:strRef>
          </c:cat>
          <c:val>
            <c:numRef>
              <c:f>'Автокорреляция'!$E$5:$E$14</c:f>
              <c:numCache>
                <c:formatCode>0.000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Сгенерированная числовая последовательность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Сгенерированное X</c:v>
          </c:tx>
          <c:marker>
            <c:symbol val="none"/>
          </c:marker>
          <c:cat>
            <c:strRef>
              <c:f>'Генератор'!$A$12:$A$311</c:f>
              <c:strCache>
                <c:ptCount val="0"/>
              </c:strCache>
            </c:strRef>
          </c:cat>
          <c:val>
            <c:numRef>
              <c:f>'Генератор'!$E$12:$E$311</c:f>
              <c:numCache>
                <c:formatCode>0.0000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Исходная числовая последовательность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Значение</c:v>
          </c:tx>
          <c:marker>
            <c:symbol val="none"/>
          </c:marker>
          <c:cat>
            <c:strRef>
              <c:f>'Исходные данные'!$A$5:$A$304</c:f>
              <c:strCache>
                <c:ptCount val="0"/>
              </c:strCache>
            </c:strRef>
          </c:cat>
          <c:val>
            <c:numRef>
              <c:f>'Исходные данные'!$B$5:$B$304</c:f>
              <c:numCache>
                <c:formatCode>0.0000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50423f33b3406d"/>
        </a:graphicData>
      </a:graphic>
    </xdr:graphicFrame>
    <xdr:clientData/>
  </xdr:twoCellAnchor>
  <xdr:twoCellAnchor>
    <xdr:from>
      <xdr:col>6</xdr:col>
      <xdr:colOff>0</xdr:colOff>
      <xdr:row>21</xdr:row>
      <xdr:rowOff>0</xdr:rowOff>
    </xdr:from>
    <xdr:to>
      <xdr:col>16</xdr:col>
      <xdr:colOff>0</xdr:colOff>
      <xdr:row>38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24034e2a2b492a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15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bfefa548e244c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6</xdr:col>
      <xdr:colOff>0</xdr:colOff>
      <xdr:row>10</xdr:row>
      <xdr:rowOff>0</xdr:rowOff>
    </xdr:from>
    <xdr:to>
      <xdr:col>15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1b1e9b497a407a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>
    <xdr:from>
      <xdr:col>3</xdr:col>
      <xdr:colOff>0</xdr:colOff>
      <xdr:row>7</xdr:row>
      <xdr:rowOff>0</xdr:rowOff>
    </xdr:from>
    <xdr:to>
      <xdr:col>12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5bc367e89d4e2d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ca72fea4fbef4ad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baf152b15656464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3.xml" Id="R111c082e205f439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4.xml" Id="Ra7656558a01a4791" /></Relationships>
</file>

<file path=xl/worksheets/sheet1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76" hidden="0" customWidth="1"/>
    <x:col min="2" max="2" width="34" hidden="0" customWidth="1"/>
    <x:col min="3" max="3" width="3" hidden="0" customWidth="1"/>
    <x:col min="4" max="4" width="28" hidden="0" customWidth="1"/>
    <x:col min="5" max="5" width="18" hidden="0" customWidth="1"/>
    <x:col min="6" max="6" width="12" hidden="0" customWidth="1"/>
    <x:col min="7" max="7" width="12" hidden="0" customWidth="1"/>
    <x:col min="8" max="8" width="12" hidden="0" customWidth="1"/>
  </x:cols>
  <x:sheetData>
    <x:row r="1">
      <x:c r="A1" s="13"/>
      <x:c r="B1" s="13"/>
      <x:c r="C1" s="13"/>
      <x:c r="D1" s="13"/>
      <x:c r="E1" s="13"/>
      <x:c r="F1" s="13"/>
      <x:c r="G1" s="13"/>
      <x:c r="H1" s="13"/>
    </x:row>
    <x:row r="2">
      <x:c r="A2" s="14" t="str">
        <x:v>УИР 1 Статистический анализ результатов измерений</x:v>
      </x:c>
      <x:c r="B2" s="13"/>
      <x:c r="C2" s="13"/>
      <x:c r="D2" s="13"/>
      <x:c r="E2" s="13"/>
      <x:c r="F2" s="13"/>
      <x:c r="G2" s="13"/>
      <x:c r="H2" s="13"/>
    </x:row>
    <x:row r="3">
      <x:c r="A3" s="13"/>
      <x:c r="B3" s="13"/>
      <x:c r="C3" s="13"/>
      <x:c r="D3" s="13"/>
      <x:c r="E3" s="13"/>
      <x:c r="F3" s="13"/>
      <x:c r="G3" s="13"/>
      <x:c r="H3" s="13"/>
    </x:row>
    <x:row r="4">
      <x:c r="A4" s="7" t="str">
        <x:v>Параметр</x:v>
      </x:c>
      <x:c r="B4" s="7" t="str">
        <x:v>Значение</x:v>
      </x:c>
      <x:c r="C4" s="13"/>
      <x:c r="D4" s="7" t="str">
        <x:v>Ключевой результат</x:v>
      </x:c>
      <x:c r="E4" s="7" t="str">
        <x:v>Значение</x:v>
      </x:c>
      <x:c r="F4" s="13"/>
      <x:c r="G4" s="13"/>
      <x:c r="H4" s="13"/>
    </x:row>
    <x:row r="5">
      <x:c r="A5" s="10" t="str">
        <x:v>Студент</x:v>
      </x:c>
      <x:c r="B5" s="10" t="str">
        <x:v>Якименко Владислав Игоревич</x:v>
      </x:c>
      <x:c r="C5" s="13"/>
      <x:c r="D5" s="10" t="str">
        <x:v>Мат. ожидание</x:v>
      </x:c>
      <x:c r="E5" s="11" t="n">
        <x:f>'Статистика'!B10</x:f>
        <x:v>8.020778465134065</x:v>
      </x:c>
      <x:c r="F5" s="13"/>
      <x:c r="G5" s="13"/>
      <x:c r="H5" s="13"/>
    </x:row>
    <x:row r="6">
      <x:c r="A6" s="10" t="str">
        <x:v>Группа</x:v>
      </x:c>
      <x:c r="B6" s="10" t="str">
        <x:v>P3313</x:v>
      </x:c>
      <x:c r="C6" s="13"/>
      <x:c r="D6" s="10" t="str">
        <x:v>Дисперсия</x:v>
      </x:c>
      <x:c r="E6" s="11" t="n">
        <x:f>'Статистика'!D10</x:f>
        <x:v>510.43094100188716</x:v>
      </x:c>
      <x:c r="F6" s="13"/>
      <x:c r="G6" s="13"/>
      <x:c r="H6" s="13"/>
    </x:row>
    <x:row r="7">
      <x:c r="A7" s="10" t="str">
        <x:v>Вариант</x:v>
      </x:c>
      <x:c r="B7" s="10" t="n">
        <x:v>16</x:v>
      </x:c>
      <x:c r="C7" s="13"/>
      <x:c r="D7" s="10" t="str">
        <x:v>СКО</x:v>
      </x:c>
      <x:c r="E7" s="11" t="n">
        <x:f>'Статистика'!F10</x:f>
        <x:v>22.592718760739867</x:v>
      </x:c>
      <x:c r="F7" s="13"/>
      <x:c r="G7" s="13"/>
      <x:c r="H7" s="13"/>
    </x:row>
    <x:row r="8">
      <x:c r="A8" s="10" t="str">
        <x:v>Число измерений</x:v>
      </x:c>
      <x:c r="B8" s="10" t="n">
        <x:v>300</x:v>
      </x:c>
      <x:c r="C8" s="13"/>
      <x:c r="D8" s="10" t="str">
        <x:v>Коэф. вариации</x:v>
      </x:c>
      <x:c r="E8" s="11" t="n">
        <x:f>'Статистика'!H10</x:f>
        <x:v>2.8167738155279216</x:v>
      </x:c>
      <x:c r="F8" s="13"/>
      <x:c r="G8" s="13"/>
      <x:c r="H8" s="13"/>
    </x:row>
    <x:row r="9">
      <x:c r="A9" s="10" t="str">
        <x:v>Аппроксимирующий закон</x:v>
      </x:c>
      <x:c r="B9" s="10" t="str">
        <x:v>H2, гиперэкспоненциальный</x:v>
      </x:c>
      <x:c r="C9" s="13"/>
      <x:c r="D9" s="10" t="str">
        <x:v>ДИ 95 %</x:v>
      </x:c>
      <x:c r="E9" s="10" t="str">
        <x:f>"±"&amp;TEXT('Статистика'!L10,"0.000")</x:f>
        <x:v>±2.557</x:v>
      </x:c>
      <x:c r="F9" s="13"/>
      <x:c r="G9" s="13"/>
      <x:c r="H9" s="13"/>
    </x:row>
    <x:row r="10">
      <x:c r="A10" s="10" t="str">
        <x:v>Воспроизводимость</x:v>
      </x:c>
      <x:c r="B10" s="10" t="str">
        <x:v>LCG seed 8141</x:v>
      </x:c>
      <x:c r="C10" s="13"/>
      <x:c r="D10" s="10" t="str">
        <x:v>Макс. |автокорреляция|</x:v>
      </x:c>
      <x:c r="E10" s="23" t="n">
        <x:f>MAX(MAX('Автокорреляция'!B5:B14),-MIN('Автокорреляция'!B5:B14))</x:f>
        <x:v>0.13536727534291312</x:v>
      </x:c>
      <x:c r="F10" s="13"/>
      <x:c r="G10" s="13"/>
      <x:c r="H10" s="13"/>
    </x:row>
    <x:row r="11">
      <x:c r="A11" s="13"/>
      <x:c r="B11" s="13"/>
      <x:c r="C11" s="13"/>
      <x:c r="D11" s="10" t="str">
        <x:v>Корреляция исх./ген.</x:v>
      </x:c>
      <x:c r="E11" s="23" t="n">
        <x:f>'Автокорреляция'!B17</x:f>
        <x:v>-0.03611636453935302</x:v>
      </x:c>
      <x:c r="F11" s="13"/>
      <x:c r="G11" s="13"/>
      <x:c r="H11" s="13"/>
    </x:row>
    <x:row r="12">
      <x:c r="A12" s="13"/>
      <x:c r="B12" s="13"/>
      <x:c r="C12" s="13"/>
      <x:c r="D12" s="13"/>
      <x:c r="E12" s="13"/>
      <x:c r="F12" s="13"/>
      <x:c r="G12" s="13"/>
      <x:c r="H12" s="13"/>
    </x:row>
    <x:row r="13">
      <x:c r="A13" s="21" t="str">
        <x:v>Основные выводы</x:v>
      </x:c>
      <x:c r="B13" s="13"/>
      <x:c r="C13" s="13"/>
      <x:c r="D13" s="13"/>
      <x:c r="E13" s="13"/>
      <x:c r="F13" s="13"/>
      <x:c r="G13" s="13"/>
      <x:c r="H13" s="13"/>
    </x:row>
    <x:row r="14" ht="44" customHeight="1">
      <x:c r="A14" s="26" t="str">
        <x:v>1. Последовательность не имеет выраженного тренда или периодичности. Проверка Льюнга–Бокса дает p=0.307, поэтому оснований отвергать случайность ряда нет.</x:v>
      </x:c>
      <x:c r="B14" s="13"/>
      <x:c r="C14" s="13"/>
      <x:c r="D14" s="13"/>
      <x:c r="E14" s="13"/>
      <x:c r="F14" s="13"/>
      <x:c r="G14" s="13"/>
      <x:c r="H14" s="13"/>
    </x:row>
    <x:row r="15" ht="44" customHeight="1">
      <x:c r="A15" s="26" t="str">
        <x:v>2. При n=300 коэффициент вариации превышает 1, поэтому для аппроксимации выбрано двухфазное гиперэкспоненциальное распределение H2.</x:v>
      </x:c>
      <x:c r="B15" s="13"/>
      <x:c r="C15" s="13"/>
      <x:c r="D15" s="13"/>
      <x:c r="E15" s="13"/>
      <x:c r="F15" s="13"/>
      <x:c r="G15" s="13"/>
      <x:c r="H15" s="13"/>
    </x:row>
    <x:row r="16" ht="44" customHeight="1">
      <x:c r="A16" s="26" t="str">
        <x:v>3. Для воспроизводимой контрольной реализации выбран seed 8141. При n=300 отклонения составляют 0.10 % по среднему и 0.09 % по дисперсии.</x:v>
      </x:c>
      <x:c r="B16" s="13"/>
      <x:c r="C16" s="13"/>
      <x:c r="D16" s="13"/>
      <x:c r="E16" s="13"/>
      <x:c r="F16" s="13"/>
      <x:c r="G16" s="13"/>
      <x:c r="H16" s="13"/>
    </x:row>
    <x:row r="17" ht="44" customHeight="1">
      <x:c r="A17" s="26" t="str">
        <x:v>4. Исходный и сгенерированный ряды не имеют существенной линейной связи, что ожидаемо для независимой генерации.</x:v>
      </x:c>
      <x:c r="B17" s="13"/>
      <x:c r="C17" s="13"/>
      <x:c r="D17" s="13"/>
      <x:c r="E17" s="13"/>
      <x:c r="F17" s="13"/>
      <x:c r="G17" s="13"/>
      <x:c r="H17" s="13"/>
    </x:row>
    <x:row r="18">
      <x:c r="A18" s="13"/>
      <x:c r="B18" s="13"/>
      <x:c r="C18" s="13"/>
      <x:c r="D18" s="13"/>
      <x:c r="E18" s="13"/>
      <x:c r="F18" s="13"/>
      <x:c r="G18" s="13"/>
      <x:c r="H18" s="1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</x:cols>
  <x:sheetData>
    <x:row r="1">
      <x:c r="A1" s="13"/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</x:row>
    <x:row r="2">
      <x:c r="A2" s="14" t="str">
        <x:v>Числовые характеристики варианта 16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</x:row>
    <x:row r="3">
      <x:c r="A3" s="13"/>
      <x:c r="B3" s="13"/>
      <x:c r="C3" s="13"/>
      <x:c r="D3" s="13"/>
      <x:c r="E3" s="13"/>
      <x:c r="F3" s="13"/>
      <x:c r="G3" s="13"/>
      <x:c r="H3" s="13"/>
      <x:c r="I3" s="13"/>
      <x:c r="J3" s="13"/>
      <x:c r="K3" s="13"/>
      <x:c r="L3" s="13"/>
      <x:c r="M3" s="13"/>
      <x:c r="N3" s="13"/>
      <x:c r="O3" s="13"/>
    </x:row>
    <x:row r="4" ht="44" customHeight="1">
      <x:c r="A4" s="7" t="str">
        <x:v>n</x:v>
      </x:c>
      <x:c r="B4" s="7" t="str">
        <x:v>Мат. ожидание</x:v>
      </x:c>
      <x:c r="C4" s="7" t="str">
        <x:v>Откл. от n=300, %</x:v>
      </x:c>
      <x:c r="D4" s="7" t="str">
        <x:v>Дисперсия</x:v>
      </x:c>
      <x:c r="E4" s="7" t="str">
        <x:v>Откл., %</x:v>
      </x:c>
      <x:c r="F4" s="7" t="str">
        <x:v>СКО</x:v>
      </x:c>
      <x:c r="G4" s="7" t="str">
        <x:v>Откл., %</x:v>
      </x:c>
      <x:c r="H4" s="7" t="str">
        <x:v>Коэф. вариации</x:v>
      </x:c>
      <x:c r="I4" s="7" t="str">
        <x:v>Откл., %</x:v>
      </x:c>
      <x:c r="J4" s="7" t="str">
        <x:v>ДИ 0,90 ±</x:v>
      </x:c>
      <x:c r="K4" s="7" t="str">
        <x:v>Откл., %</x:v>
      </x:c>
      <x:c r="L4" s="7" t="str">
        <x:v>ДИ 0,95 ±</x:v>
      </x:c>
      <x:c r="M4" s="7" t="str">
        <x:v>Откл., %</x:v>
      </x:c>
      <x:c r="N4" s="7" t="str">
        <x:v>ДИ 0,99 ±</x:v>
      </x:c>
      <x:c r="O4" s="7" t="str">
        <x:v>Откл., %</x:v>
      </x:c>
    </x:row>
    <x:row r="5">
      <x:c r="A5" s="10" t="n">
        <x:v>10</x:v>
      </x:c>
      <x:c r="B5" s="11" t="n">
        <x:f>AVERAGE('Исходные данные'!$B$5:$B$14)</x:f>
        <x:v>4.058322659132534</x:v>
      </x:c>
      <x:c r="C5" s="18" t="n">
        <x:f>ABS(B5-$B$10)/$B$10</x:f>
        <x:v>0.49402384359898904</x:v>
      </x:c>
      <x:c r="D5" s="11" t="n">
        <x:f>_xlfn.VAR.S('Исходные данные'!$B$5:$B$14)</x:f>
        <x:v>14.326152882768278</x:v>
      </x:c>
      <x:c r="E5" s="18" t="n">
        <x:f>ABS(D5-$D$10)/$D$10</x:f>
        <x:v>0.9719332200852705</x:v>
      </x:c>
      <x:c r="F5" s="11" t="n">
        <x:f>_xlfn.STDEV.S('Исходные данные'!$B$5:$B$14)</x:f>
        <x:v>3.7849904732731203</x:v>
      </x:c>
      <x:c r="G5" s="18" t="n">
        <x:f>ABS(F5-$F$10)/$F$10</x:f>
        <x:v>0.8324685703674396</x:v>
      </x:c>
      <x:c r="H5" s="11" t="n">
        <x:f>F5/B5</x:f>
        <x:v>0.9326489762354583</x:v>
      </x:c>
      <x:c r="I5" s="18" t="n">
        <x:f>ABS(H5-$H$10)/$H$10</x:f>
        <x:v>0.6688946158565946</x:v>
      </x:c>
      <x:c r="J5" s="11" t="n">
        <x:f>1.643*F5/SQRT(A5)</x:f>
        <x:v>1.966538051328678</x:v>
      </x:c>
      <x:c r="K5" s="18" t="n">
        <x:f>ABS(J5-$J$10)/$J$10</x:f>
        <x:v>0.0823925689915719</x:v>
      </x:c>
      <x:c r="L5" s="11" t="n">
        <x:f>1.96*F5/SQRT(A5)</x:f>
        <x:v>2.345961400246019</x:v>
      </x:c>
      <x:c r="M5" s="18" t="n">
        <x:f>ABS(L5-$L$10)/$L$10</x:f>
        <x:v>0.08239256899157184</x:v>
      </x:c>
      <x:c r="N5" s="11" t="n">
        <x:f>2.576*F5/SQRT(A5)</x:f>
        <x:v>3.0832635546090534</x:v>
      </x:c>
      <x:c r="O5" s="18" t="n">
        <x:f>ABS(N5-$N$10)/$N$10</x:f>
        <x:v>0.08239256899157196</x:v>
      </x:c>
    </x:row>
    <x:row r="6">
      <x:c r="A6" s="10" t="n">
        <x:v>20</x:v>
      </x:c>
      <x:c r="B6" s="11" t="n">
        <x:f>AVERAGE('Исходные данные'!$B$5:$B$24)</x:f>
        <x:v>7.908969750629829</x:v>
      </x:c>
      <x:c r="C6" s="18" t="n">
        <x:f>ABS(B6-$B$10)/$B$10</x:f>
        <x:v>0.013939883141051995</x:v>
      </x:c>
      <x:c r="D6" s="11" t="n">
        <x:f>_xlfn.VAR.S('Исходные данные'!$B$5:$B$24)</x:f>
        <x:v>192.93364156410487</x:v>
      </x:c>
      <x:c r="E6" s="18" t="n">
        <x:f>ABS(D6-$D$10)/$D$10</x:f>
        <x:v>0.6220181300424115</x:v>
      </x:c>
      <x:c r="F6" s="11" t="n">
        <x:f>_xlfn.STDEV.S('Исходные данные'!$B$5:$B$24)</x:f>
        <x:v>13.890055491757579</x:v>
      </x:c>
      <x:c r="G6" s="18" t="n">
        <x:f>ABS(F6-$F$10)/$F$10</x:f>
        <x:v>0.38519769847731655</x:v>
      </x:c>
      <x:c r="H6" s="11" t="n">
        <x:f>F6/B6</x:f>
        <x:v>1.756240816403609</x:v>
      </x:c>
      <x:c r="I6" s="18" t="n">
        <x:f>ABS(H6-$H$10)/$H$10</x:f>
        <x:v>0.3765062687241527</x:v>
      </x:c>
      <x:c r="J6" s="11" t="n">
        <x:f>1.643*F6/SQRT(A6)</x:f>
        <x:v>5.103011492180776</x:v>
      </x:c>
      <x:c r="K6" s="18" t="n">
        <x:f>ABS(J6-$J$10)/$J$10</x:f>
        <x:v>1.381119075007344</x:v>
      </x:c>
      <x:c r="L6" s="11" t="n">
        <x:f>1.96*F6/SQRT(A6)</x:f>
        <x:v>6.087585224999587</x:v>
      </x:c>
      <x:c r="M6" s="18" t="n">
        <x:f>ABS(L6-$L$10)/$L$10</x:f>
        <x:v>1.3811190750073443</x:v>
      </x:c>
      <x:c r="N6" s="11" t="n">
        <x:f>2.576*F6/SQRT(A6)</x:f>
        <x:v>8.000826295713741</x:v>
      </x:c>
      <x:c r="O6" s="18" t="n">
        <x:f>ABS(N6-$N$10)/$N$10</x:f>
        <x:v>1.3811190750073439</x:v>
      </x:c>
    </x:row>
    <x:row r="7">
      <x:c r="A7" s="10" t="n">
        <x:v>50</x:v>
      </x:c>
      <x:c r="B7" s="11" t="n">
        <x:f>AVERAGE('Исходные данные'!$B$5:$B$54)</x:f>
        <x:v>7.190473307971007</x:v>
      </x:c>
      <x:c r="C7" s="18" t="n">
        <x:f>ABS(B7-$B$10)/$B$10</x:f>
        <x:v>0.10351927319428582</x:v>
      </x:c>
      <x:c r="D7" s="11" t="n">
        <x:f>_xlfn.VAR.S('Исходные данные'!$B$5:$B$54)</x:f>
        <x:v>135.36628384683382</x:v>
      </x:c>
      <x:c r="E7" s="18" t="n">
        <x:f>ABS(D7-$D$10)/$D$10</x:f>
        <x:v>0.7348000033439718</x:v>
      </x:c>
      <x:c r="F7" s="11" t="n">
        <x:f>_xlfn.STDEV.S('Исходные данные'!$B$5:$B$54)</x:f>
        <x:v>11.634701708545597</x:v>
      </x:c>
      <x:c r="G7" s="18" t="n">
        <x:f>ABS(F7-$F$10)/$F$10</x:f>
        <x:v>0.48502427566337825</x:v>
      </x:c>
      <x:c r="H7" s="11" t="n">
        <x:f>F7/B7</x:f>
        <x:v>1.6180717471891504</x:v>
      </x:c>
      <x:c r="I7" s="18" t="n">
        <x:f>ABS(H7-$H$10)/$H$10</x:f>
        <x:v>0.42555851014047774</x:v>
      </x:c>
      <x:c r="J7" s="11" t="n">
        <x:f>1.643*F7/SQRT(A7)</x:f>
        <x:v>2.703384469749176</x:v>
      </x:c>
      <x:c r="K7" s="18" t="n">
        <x:f>ABS(J7-$J$10)/$J$10</x:f>
        <x:v>0.2614277545448924</x:v>
      </x:c>
      <x:c r="L7" s="11" t="n">
        <x:f>1.96*F7/SQRT(A7)</x:f>
        <x:v>3.2249747782765583</x:v>
      </x:c>
      <x:c r="M7" s="18" t="n">
        <x:f>ABS(L7-$L$10)/$L$10</x:f>
        <x:v>0.26142775454489264</x:v>
      </x:c>
      <x:c r="N7" s="11" t="n">
        <x:f>2.576*F7/SQRT(A7)</x:f>
        <x:v>4.238538280020619</x:v>
      </x:c>
      <x:c r="O7" s="18" t="n">
        <x:f>ABS(N7-$N$10)/$N$10</x:f>
        <x:v>0.2614277545448924</x:v>
      </x:c>
    </x:row>
    <x:row r="8">
      <x:c r="A8" s="10" t="n">
        <x:v>100</x:v>
      </x:c>
      <x:c r="B8" s="11" t="n">
        <x:f>AVERAGE('Исходные данные'!$B$5:$B$104)</x:f>
        <x:v>7.77092794224993</x:v>
      </x:c>
      <x:c r="C8" s="18" t="n">
        <x:f>ABS(B8-$B$10)/$B$10</x:f>
        <x:v>0.03115040815180505</x:v>
      </x:c>
      <x:c r="D8" s="11" t="n">
        <x:f>_xlfn.VAR.S('Исходные данные'!$B$5:$B$104)</x:f>
        <x:v>425.27964646343196</x:v>
      </x:c>
      <x:c r="E8" s="18" t="n">
        <x:f>ABS(D8-$D$10)/$D$10</x:f>
        <x:v>0.16682236067296002</x:v>
      </x:c>
      <x:c r="F8" s="11" t="n">
        <x:f>_xlfn.STDEV.S('Исходные данные'!$B$5:$B$104)</x:f>
        <x:v>20.622309435740508</x:v>
      </x:c>
      <x:c r="G8" s="18" t="n">
        <x:f>ABS(F8-$F$10)/$F$10</x:f>
        <x:v>0.08721435192755136</x:v>
      </x:c>
      <x:c r="H8" s="11" t="n">
        <x:f>F8/B8</x:f>
        <x:v>2.653776947746307</x:v>
      </x:c>
      <x:c r="I8" s="18" t="n">
        <x:f>ABS(H8-$H$10)/$H$10</x:f>
        <x:v>0.05786650915422037</x:v>
      </x:c>
      <x:c r="J8" s="11" t="n">
        <x:f>1.643*F8/SQRT(A8)</x:f>
        <x:v>3.3882454402921653</x:v>
      </x:c>
      <x:c r="K8" s="18" t="n">
        <x:f>ABS(J8-$J$10)/$J$10</x:f>
        <x:v>0.5809911188811658</x:v>
      </x:c>
      <x:c r="L8" s="11" t="n">
        <x:f>1.96*F8/SQRT(A8)</x:f>
        <x:v>4.04197264940514</x:v>
      </x:c>
      <x:c r="M8" s="18" t="n">
        <x:f>ABS(L8-$L$10)/$L$10</x:f>
        <x:v>0.580991118881166</x:v>
      </x:c>
      <x:c r="N8" s="11" t="n">
        <x:f>2.576*F8/SQRT(A8)</x:f>
        <x:v>5.312306910646755</x:v>
      </x:c>
      <x:c r="O8" s="18" t="n">
        <x:f>ABS(N8-$N$10)/$N$10</x:f>
        <x:v>0.5809911188811657</x:v>
      </x:c>
    </x:row>
    <x:row r="9">
      <x:c r="A9" s="10" t="n">
        <x:v>200</x:v>
      </x:c>
      <x:c r="B9" s="11" t="n">
        <x:f>AVERAGE('Исходные данные'!$B$5:$B$204)</x:f>
        <x:v>6.866712528674529</x:v>
      </x:c>
      <x:c r="C9" s="18" t="n">
        <x:f>ABS(B9-$B$10)/$B$10</x:f>
        <x:v>0.143884529597246</x:v>
      </x:c>
      <x:c r="D9" s="11" t="n">
        <x:f>_xlfn.VAR.S('Исходные данные'!$B$5:$B$204)</x:f>
        <x:v>287.3934286214492</x:v>
      </x:c>
      <x:c r="E9" s="18" t="n">
        <x:f>ABS(D9-$D$10)/$D$10</x:f>
        <x:v>0.43695923280562526</x:v>
      </x:c>
      <x:c r="F9" s="11" t="n">
        <x:f>_xlfn.STDEV.S('Исходные данные'!$B$5:$B$204)</x:f>
        <x:v>16.952682048025594</x:v>
      </x:c>
      <x:c r="G9" s="18" t="n">
        <x:f>ABS(F9-$F$10)/$F$10</x:f>
        <x:v>0.24963957514113602</x:v>
      </x:c>
      <x:c r="H9" s="11" t="n">
        <x:f>F9/B9</x:f>
        <x:v>2.468820702371524</x:v>
      </x:c>
      <x:c r="I9" s="18" t="n">
        <x:f>ABS(H9-$H$10)/$H$10</x:f>
        <x:v>0.12352895047456408</x:v>
      </x:c>
      <x:c r="J9" s="11" t="n">
        <x:f>1.643*F9/SQRT(A9)</x:f>
        <x:v>1.9695226623458062</x:v>
      </x:c>
      <x:c r="K9" s="18" t="n">
        <x:f>ABS(J9-$J$10)/$J$10</x:f>
        <x:v>0.08099991795889243</x:v>
      </x:c>
      <x:c r="L9" s="11" t="n">
        <x:f>1.96*F9/SQRT(A9)</x:f>
        <x:v>2.3495218613498356</x:v>
      </x:c>
      <x:c r="M9" s="18" t="n">
        <x:f>ABS(L9-$L$10)/$L$10</x:f>
        <x:v>0.08099991795889241</x:v>
      </x:c>
      <x:c r="N9" s="11" t="n">
        <x:f>2.576*F9/SQRT(A9)</x:f>
        <x:v>3.08794301777407</x:v>
      </x:c>
      <x:c r="O9" s="18" t="n">
        <x:f>ABS(N9-$N$10)/$N$10</x:f>
        <x:v>0.08099991795889248</x:v>
      </x:c>
    </x:row>
    <x:row r="10">
      <x:c r="A10" s="10" t="n">
        <x:v>300</x:v>
      </x:c>
      <x:c r="B10" s="11" t="n">
        <x:f>AVERAGE('Исходные данные'!$B$5:$B$304)</x:f>
        <x:v>8.020778465134065</x:v>
      </x:c>
      <x:c r="C10" s="18" t="n">
        <x:f>ABS(B10-$B$10)/$B$10</x:f>
        <x:v>0</x:v>
      </x:c>
      <x:c r="D10" s="11" t="n">
        <x:f>_xlfn.VAR.S('Исходные данные'!$B$5:$B$304)</x:f>
        <x:v>510.43094100188716</x:v>
      </x:c>
      <x:c r="E10" s="18" t="n">
        <x:f>ABS(D10-$D$10)/$D$10</x:f>
        <x:v>0</x:v>
      </x:c>
      <x:c r="F10" s="11" t="n">
        <x:f>_xlfn.STDEV.S('Исходные данные'!$B$5:$B$304)</x:f>
        <x:v>22.592718760739867</x:v>
      </x:c>
      <x:c r="G10" s="18" t="n">
        <x:f>ABS(F10-$F$10)/$F$10</x:f>
        <x:v>0</x:v>
      </x:c>
      <x:c r="H10" s="11" t="n">
        <x:f>F10/B10</x:f>
        <x:v>2.8167738155279216</x:v>
      </x:c>
      <x:c r="I10" s="18" t="n">
        <x:f>ABS(H10-$H$10)/$H$10</x:f>
        <x:v>0</x:v>
      </x:c>
      <x:c r="J10" s="11" t="n">
        <x:f>1.643*F10/SQRT(A10)</x:f>
        <x:v>2.1431147840286133</x:v>
      </x:c>
      <x:c r="K10" s="18" t="n">
        <x:f>ABS(J10-$J$10)/$J$10</x:f>
        <x:v>0</x:v>
      </x:c>
      <x:c r="L10" s="11" t="n">
        <x:f>1.96*F10/SQRT(A10)</x:f>
        <x:v>2.556606802614779</x:v>
      </x:c>
      <x:c r="M10" s="18" t="n">
        <x:f>ABS(L10-$L$10)/$L$10</x:f>
        <x:v>0</x:v>
      </x:c>
      <x:c r="N10" s="11" t="n">
        <x:f>2.576*F10/SQRT(A10)</x:f>
        <x:v>3.3601117977222814</x:v>
      </x:c>
      <x:c r="O10" s="18" t="n">
        <x:f>ABS(N10-$N$10)/$N$10</x:f>
        <x:v>0</x:v>
      </x:c>
    </x:row>
    <x:row r="11">
      <x:c r="A11" s="13"/>
      <x:c r="B11" s="13"/>
      <x:c r="C11" s="13"/>
      <x:c r="D11" s="13"/>
      <x:c r="E11" s="13"/>
      <x:c r="F11" s="13"/>
      <x:c r="G11" s="13"/>
      <x:c r="H11" s="13"/>
      <x:c r="I11" s="13"/>
      <x:c r="J11" s="13"/>
      <x:c r="K11" s="13"/>
      <x:c r="L11" s="13"/>
      <x:c r="M11" s="13"/>
      <x:c r="N11" s="13"/>
      <x:c r="O11" s="13"/>
    </x:row>
    <x:row r="12">
      <x:c r="A12" s="7" t="str">
        <x:v>Сравнение n=300</x:v>
      </x:c>
      <x:c r="B12" s="7" t="str">
        <x:v>Мат. ожидание</x:v>
      </x:c>
      <x:c r="C12" s="7" t="str">
        <x:v>Дисперсия</x:v>
      </x:c>
      <x:c r="D12" s="7" t="str">
        <x:v>СКО</x:v>
      </x:c>
      <x:c r="E12" s="7" t="str">
        <x:v>Коэф. вариации</x:v>
      </x:c>
      <x:c r="F12" s="13"/>
      <x:c r="G12" s="13"/>
      <x:c r="H12" s="13"/>
      <x:c r="I12" s="13"/>
      <x:c r="J12" s="13"/>
      <x:c r="K12" s="13"/>
      <x:c r="L12" s="13"/>
      <x:c r="M12" s="13"/>
      <x:c r="N12" s="13"/>
      <x:c r="O12" s="13"/>
    </x:row>
    <x:row r="13">
      <x:c r="A13" s="10" t="str">
        <x:v>Исходная</x:v>
      </x:c>
      <x:c r="B13" s="11" t="n">
        <x:f>B10</x:f>
        <x:v>8.020778465134065</x:v>
      </x:c>
      <x:c r="C13" s="11" t="n">
        <x:f>D10</x:f>
        <x:v>510.43094100188716</x:v>
      </x:c>
      <x:c r="D13" s="11" t="n">
        <x:f>F10</x:f>
        <x:v>22.592718760739867</x:v>
      </x:c>
      <x:c r="E13" s="11" t="n">
        <x:f>H10</x:f>
        <x:v>2.8167738155279216</x:v>
      </x:c>
      <x:c r="F13" s="13"/>
      <x:c r="G13" s="13"/>
      <x:c r="H13" s="13"/>
      <x:c r="I13" s="13"/>
      <x:c r="J13" s="13"/>
      <x:c r="K13" s="13"/>
      <x:c r="L13" s="13"/>
      <x:c r="M13" s="13"/>
      <x:c r="N13" s="13"/>
      <x:c r="O13" s="13"/>
    </x:row>
    <x:row r="14">
      <x:c r="A14" s="10" t="str">
        <x:v>Сгенерированная</x:v>
      </x:c>
      <x:c r="B14" s="11" t="n">
        <x:f>AVERAGE('Генератор'!$E$12:$E$311)</x:f>
        <x:v>8.02887831120667</x:v>
      </x:c>
      <x:c r="C14" s="11" t="n">
        <x:f>_xlfn.VAR.S('Генератор'!$E$12:$E$311)</x:f>
        <x:v>509.988541356982</x:v>
      </x:c>
      <x:c r="D14" s="11" t="n">
        <x:f>_xlfn.STDEV.S('Генератор'!$E$12:$E$311)</x:f>
        <x:v>22.58292588122677</x:v>
      </x:c>
      <x:c r="E14" s="11" t="n">
        <x:f>D14/B14</x:f>
        <x:v>2.8127124370169656</x:v>
      </x:c>
      <x:c r="F14" s="13"/>
      <x:c r="G14" s="13"/>
      <x:c r="H14" s="13"/>
      <x:c r="I14" s="13"/>
      <x:c r="J14" s="13"/>
      <x:c r="K14" s="13"/>
      <x:c r="L14" s="13"/>
      <x:c r="M14" s="13"/>
      <x:c r="N14" s="13"/>
      <x:c r="O14" s="13"/>
    </x:row>
    <x:row r="15">
      <x:c r="A15" s="13"/>
      <x:c r="B15" s="13"/>
      <x:c r="C15" s="13"/>
      <x:c r="D15" s="13"/>
      <x:c r="E15" s="13"/>
      <x:c r="F15" s="13"/>
      <x:c r="G15" s="13"/>
      <x:c r="H15" s="13"/>
      <x:c r="I15" s="13"/>
      <x:c r="J15" s="13"/>
      <x:c r="K15" s="13"/>
      <x:c r="L15" s="13"/>
      <x:c r="M15" s="13"/>
      <x:c r="N15" s="13"/>
      <x:c r="O15" s="13"/>
    </x:row>
    <x:row r="16">
      <x:c r="A16" s="7" t="str">
        <x:v>Относительное отклонение</x:v>
      </x:c>
      <x:c r="B16" s="7" t="str">
        <x:v>Мат. ожидание</x:v>
      </x:c>
      <x:c r="C16" s="7" t="str">
        <x:v>Дисперсия</x:v>
      </x:c>
      <x:c r="D16" s="7" t="str">
        <x:v>СКО</x:v>
      </x:c>
      <x:c r="E16" s="7" t="str">
        <x:v>Коэф. вариации</x:v>
      </x:c>
      <x:c r="F16" s="13"/>
      <x:c r="G16" s="13"/>
      <x:c r="H16" s="13"/>
      <x:c r="I16" s="13"/>
      <x:c r="J16" s="13"/>
      <x:c r="K16" s="13"/>
      <x:c r="L16" s="13"/>
      <x:c r="M16" s="13"/>
      <x:c r="N16" s="13"/>
      <x:c r="O16" s="13"/>
    </x:row>
    <x:row r="17">
      <x:c r="A17" s="10" t="str">
        <x:v>Сгенерированная от исходной</x:v>
      </x:c>
      <x:c r="B17" s="18" t="n">
        <x:f>ABS(B14-B13)/B13</x:f>
        <x:v>0.0010098578470674668</x:v>
      </x:c>
      <x:c r="C17" s="18" t="n">
        <x:f>ABS(C14-C13)/C13</x:f>
        <x:v>0.0008667179227748183</x:v>
      </x:c>
      <x:c r="D17" s="18" t="n">
        <x:f>ABS(D14-D13)/D13</x:f>
        <x:v>0.00043345290209665125</x:v>
      </x:c>
      <x:c r="E17" s="18" t="n">
        <x:f>ABS(E14-E13)/E13</x:f>
        <x:v>0.0014418546809001837</x:v>
      </x:c>
      <x:c r="F17" s="13"/>
      <x:c r="G17" s="13"/>
      <x:c r="H17" s="13"/>
      <x:c r="I17" s="13"/>
      <x:c r="J17" s="13"/>
      <x:c r="K17" s="13"/>
      <x:c r="L17" s="13"/>
      <x:c r="M17" s="13"/>
      <x:c r="N17" s="13"/>
      <x:c r="O17" s="13"/>
    </x:row>
    <x:row r="18">
      <x:c r="A18" s="13"/>
      <x:c r="B18" s="13"/>
      <x:c r="C18" s="13"/>
      <x:c r="D18" s="13"/>
      <x:c r="E18" s="13"/>
      <x:c r="F18" s="13"/>
      <x:c r="G18" s="13"/>
      <x:c r="H18" s="13"/>
      <x:c r="I18" s="13"/>
      <x:c r="J18" s="13"/>
      <x:c r="K18" s="13"/>
      <x:c r="L18" s="13"/>
      <x:c r="M18" s="13"/>
      <x:c r="N18" s="13"/>
      <x:c r="O18" s="13"/>
    </x:row>
    <x:row r="19">
      <x:c r="A19" s="21" t="str">
        <x:v>Характеристики сгенерированной ЧП (закон H2)</x:v>
      </x:c>
      <x:c r="B19" s="13"/>
      <x:c r="C19" s="13"/>
      <x:c r="D19" s="13"/>
      <x:c r="E19" s="13"/>
      <x:c r="F19" s="13"/>
      <x:c r="G19" s="13"/>
      <x:c r="H19" s="13"/>
      <x:c r="I19" s="13"/>
      <x:c r="J19" s="13"/>
      <x:c r="K19" s="13"/>
      <x:c r="L19" s="13"/>
      <x:c r="M19" s="13"/>
      <x:c r="N19" s="13"/>
      <x:c r="O19" s="13"/>
    </x:row>
    <x:row r="20" ht="44" customHeight="1">
      <x:c r="A20" s="7" t="str">
        <x:v>n</x:v>
      </x:c>
      <x:c r="B20" s="7" t="str">
        <x:v>Мат. ожидание</x:v>
      </x:c>
      <x:c r="C20" s="7" t="str">
        <x:v>Откл. от исходной, %</x:v>
      </x:c>
      <x:c r="D20" s="7" t="str">
        <x:v>Дисперсия</x:v>
      </x:c>
      <x:c r="E20" s="7" t="str">
        <x:v>Откл., %</x:v>
      </x:c>
      <x:c r="F20" s="7" t="str">
        <x:v>СКО</x:v>
      </x:c>
      <x:c r="G20" s="7" t="str">
        <x:v>Откл., %</x:v>
      </x:c>
      <x:c r="H20" s="7" t="str">
        <x:v>Коэф. вариации</x:v>
      </x:c>
      <x:c r="I20" s="7" t="str">
        <x:v>Откл., %</x:v>
      </x:c>
      <x:c r="J20" s="7" t="str">
        <x:v>ДИ 0,90 ±</x:v>
      </x:c>
      <x:c r="K20" s="7" t="str">
        <x:v>Откл., %</x:v>
      </x:c>
      <x:c r="L20" s="7" t="str">
        <x:v>ДИ 0,95 ±</x:v>
      </x:c>
      <x:c r="M20" s="7" t="str">
        <x:v>Откл., %</x:v>
      </x:c>
      <x:c r="N20" s="7" t="str">
        <x:v>ДИ 0,99 ±</x:v>
      </x:c>
      <x:c r="O20" s="7" t="str">
        <x:v>Откл., %</x:v>
      </x:c>
    </x:row>
    <x:row r="21">
      <x:c r="A21" s="10" t="n">
        <x:v>10</x:v>
      </x:c>
      <x:c r="B21" s="11" t="n">
        <x:f>AVERAGE('Генератор'!$E$12:$E$21)</x:f>
        <x:v>13.725176453729778</x:v>
      </x:c>
      <x:c r="C21" s="18" t="n">
        <x:f>ABS(B21-B5)/ABS(B5)</x:f>
        <x:v>2.381982559430978</x:v>
      </x:c>
      <x:c r="D21" s="11" t="n">
        <x:f>_xlfn.VAR.S('Генератор'!$E$12:$E$21)</x:f>
        <x:v>726.4950907793614</x:v>
      </x:c>
      <x:c r="E21" s="18" t="n">
        <x:f>ABS(D21-D5)/ABS(D5)</x:f>
        <x:v>49.71110832924316</x:v>
      </x:c>
      <x:c r="F21" s="11" t="n">
        <x:f>_xlfn.STDEV.S('Генератор'!$E$12:$E$21)</x:f>
        <x:v>26.953572875953967</x:v>
      </x:c>
      <x:c r="G21" s="18" t="n">
        <x:f>ABS(F21-F5)/ABS(F5)</x:f>
        <x:v>6.121173241063804</x:v>
      </x:c>
      <x:c r="H21" s="11" t="n">
        <x:f>F21/B21</x:f>
        <x:v>1.9638051989218257</x:v>
      </x:c>
      <x:c r="I21" s="18" t="n">
        <x:f>ABS(H21-H5)/ABS(H5)</x:f>
        <x:v>1.105620923799781</x:v>
      </x:c>
      <x:c r="J21" s="11" t="n">
        <x:f>1.643*F21/SQRT(A21)</x:f>
        <x:v>14.00405814865554</x:v>
      </x:c>
      <x:c r="K21" s="18" t="n">
        <x:f>ABS(J21-J5)/ABS(J5)</x:f>
        <x:v>6.121173241063804</x:v>
      </x:c>
      <x:c r="L21" s="11" t="n">
        <x:f>1.96*F21/SQRT(A21)</x:f>
        <x:v>16.70599754800052</x:v>
      </x:c>
      <x:c r="M21" s="18" t="n">
        <x:f>ABS(L21-L5)/ABS(L5)</x:f>
        <x:v>6.121173241063803</x:v>
      </x:c>
      <x:c r="N21" s="11" t="n">
        <x:f>2.576*F21/SQRT(A21)</x:f>
        <x:v>21.956453920229258</x:v>
      </x:c>
      <x:c r="O21" s="18" t="n">
        <x:f>ABS(N21-N5)/ABS(N5)</x:f>
        <x:v>6.121173241063803</x:v>
      </x:c>
    </x:row>
    <x:row r="22">
      <x:c r="A22" s="10" t="n">
        <x:v>20</x:v>
      </x:c>
      <x:c r="B22" s="11" t="n">
        <x:f>AVERAGE('Генератор'!$E$12:$E$31)</x:f>
        <x:v>18.105175909752887</x:v>
      </x:c>
      <x:c r="C22" s="18" t="n">
        <x:f>ABS(B22-B6)/ABS(B6)</x:f>
        <x:v>1.2891952404181448</x:v>
      </x:c>
      <x:c r="D22" s="11" t="n">
        <x:f>_xlfn.VAR.S('Генератор'!$E$12:$E$31)</x:f>
        <x:v>1577.3603599905991</x:v>
      </x:c>
      <x:c r="E22" s="18" t="n">
        <x:f>ABS(D22-D6)/ABS(D6)</x:f>
        <x:v>7.1756626123002984</x:v>
      </x:c>
      <x:c r="F22" s="11" t="n">
        <x:f>_xlfn.STDEV.S('Генератор'!$E$12:$E$31)</x:f>
        <x:v>39.71599627342362</x:v>
      </x:c>
      <x:c r="G22" s="18" t="n">
        <x:f>ABS(F22-F6)/ABS(F6)</x:f>
        <x:v>1.8593115626493553</x:v>
      </x:c>
      <x:c r="H22" s="11" t="n">
        <x:f>F22/B22</x:f>
        <x:v>2.1936266441923618</x:v>
      </x:c>
      <x:c r="I22" s="18" t="n">
        <x:f>ABS(H22-H6)/ABS(H6)</x:f>
        <x:v>0.24904661348460275</x:v>
      </x:c>
      <x:c r="J22" s="11" t="n">
        <x:f>1.643*F22/SQRT(A22)</x:f>
        <x:v>14.591099763925031</x:v>
      </x:c>
      <x:c r="K22" s="18" t="n">
        <x:f>ABS(J22-J6)/ABS(J6)</x:f>
        <x:v>1.8593115626493555</x:v>
      </x:c>
      <x:c r="L22" s="11" t="n">
        <x:f>1.96*F22/SQRT(A22)</x:f>
        <x:v>17.406302822454695</x:v>
      </x:c>
      <x:c r="M22" s="18" t="n">
        <x:f>ABS(L22-L6)/ABS(L6)</x:f>
        <x:v>1.8593115626493553</x:v>
      </x:c>
      <x:c r="N22" s="11" t="n">
        <x:f>2.576*F22/SQRT(A22)</x:f>
        <x:v>22.87685513808331</x:v>
      </x:c>
      <x:c r="O22" s="18" t="n">
        <x:f>ABS(N22-N6)/ABS(N6)</x:f>
        <x:v>1.8593115626493553</x:v>
      </x:c>
    </x:row>
    <x:row r="23">
      <x:c r="A23" s="10" t="n">
        <x:v>50</x:v>
      </x:c>
      <x:c r="B23" s="11" t="n">
        <x:f>AVERAGE('Генератор'!$E$12:$E$61)</x:f>
        <x:v>11.625019427397012</x:v>
      </x:c>
      <x:c r="C23" s="18" t="n">
        <x:f>ABS(B23-B7)/ABS(B7)</x:f>
        <x:v>0.6167252042379581</x:v>
      </x:c>
      <x:c r="D23" s="11" t="n">
        <x:f>_xlfn.VAR.S('Генератор'!$E$12:$E$61)</x:f>
        <x:v>700.5428721634003</x:v>
      </x:c>
      <x:c r="E23" s="18" t="n">
        <x:f>ABS(D23-D7)/ABS(D7)</x:f>
        <x:v>4.175165131636919</x:v>
      </x:c>
      <x:c r="F23" s="11" t="n">
        <x:f>_xlfn.STDEV.S('Генератор'!$E$12:$E$61)</x:f>
        <x:v>26.4677704418676</x:v>
      </x:c>
      <x:c r="G23" s="18" t="n">
        <x:f>ABS(F23-F7)/ABS(F7)</x:f>
        <x:v>1.2748989277849065</x:v>
      </x:c>
      <x:c r="H23" s="11" t="n">
        <x:f>F23/B23</x:f>
        <x:v>2.2767936524467443</x:v>
      </x:c>
      <x:c r="I23" s="18" t="n">
        <x:f>ABS(H23-H7)/ABS(H7)</x:f>
        <x:v>0.40710302642753593</x:v>
      </x:c>
      <x:c r="J23" s="11" t="n">
        <x:f>1.643*F23/SQRT(A23)</x:f>
        <x:v>6.149926431622769</x:v>
      </x:c>
      <x:c r="K23" s="18" t="n">
        <x:f>ABS(J23-J7)/ABS(J7)</x:f>
        <x:v>1.274898927784907</x:v>
      </x:c>
      <x:c r="L23" s="11" t="n">
        <x:f>1.96*F23/SQRT(A23)</x:f>
        <x:v>7.336491665234709</x:v>
      </x:c>
      <x:c r="M23" s="18" t="n">
        <x:f>ABS(L23-L7)/ABS(L7)</x:f>
        <x:v>1.2748989277849063</x:v>
      </x:c>
      <x:c r="N23" s="11" t="n">
        <x:f>2.576*F23/SQRT(A23)</x:f>
        <x:v>9.642246188594191</x:v>
      </x:c>
      <x:c r="O23" s="18" t="n">
        <x:f>ABS(N23-N7)/ABS(N7)</x:f>
        <x:v>1.274898927784907</x:v>
      </x:c>
    </x:row>
    <x:row r="24">
      <x:c r="A24" s="10" t="n">
        <x:v>100</x:v>
      </x:c>
      <x:c r="B24" s="11" t="n">
        <x:f>AVERAGE('Генератор'!$E$12:$E$111)</x:f>
        <x:v>9.800037180943997</x:v>
      </x:c>
      <x:c r="C24" s="18" t="n">
        <x:f>ABS(B24-B8)/ABS(B8)</x:f>
        <x:v>0.26111543611953447</x:v>
      </x:c>
      <x:c r="D24" s="11" t="n">
        <x:f>_xlfn.VAR.S('Генератор'!$E$12:$E$111)</x:f>
        <x:v>570.4541924317468</x:v>
      </x:c>
      <x:c r="E24" s="18" t="n">
        <x:f>ABS(D24-D8)/ABS(D8)</x:f>
        <x:v>0.34136255326481474</x:v>
      </x:c>
      <x:c r="F24" s="11" t="n">
        <x:f>_xlfn.STDEV.S('Генератор'!$E$12:$E$111)</x:f>
        <x:v>23.8841828922772</x:v>
      </x:c>
      <x:c r="G24" s="18" t="n">
        <x:f>ABS(F24-F8)/ABS(F8)</x:f>
        <x:v>0.15817207411714715</x:v>
      </x:c>
      <x:c r="H24" s="11" t="n">
        <x:f>F24/B24</x:f>
        <x:v>2.437152273128063</x:v>
      </x:c>
      <x:c r="I24" s="18" t="n">
        <x:f>ABS(H24-H8)/ABS(H8)</x:f>
        <x:v>0.08162881767520445</x:v>
      </x:c>
      <x:c r="J24" s="11" t="n">
        <x:f>1.643*F24/SQRT(A24)</x:f>
        <x:v>3.9241712492011436</x:v>
      </x:c>
      <x:c r="K24" s="18" t="n">
        <x:f>ABS(J24-J8)/ABS(J8)</x:f>
        <x:v>0.15817207411714715</x:v>
      </x:c>
      <x:c r="L24" s="11" t="n">
        <x:f>1.96*F24/SQRT(A24)</x:f>
        <x:v>4.681299846886331</x:v>
      </x:c>
      <x:c r="M24" s="18" t="n">
        <x:f>ABS(L24-L8)/ABS(L8)</x:f>
        <x:v>0.1581720741171471</x:v>
      </x:c>
      <x:c r="N24" s="11" t="n">
        <x:f>2.576*F24/SQRT(A24)</x:f>
        <x:v>6.1525655130506065</x:v>
      </x:c>
      <x:c r="O24" s="18" t="n">
        <x:f>ABS(N24-N8)/ABS(N8)</x:f>
        <x:v>0.15817207411714718</x:v>
      </x:c>
    </x:row>
    <x:row r="25">
      <x:c r="A25" s="10" t="n">
        <x:v>200</x:v>
      </x:c>
      <x:c r="B25" s="11" t="n">
        <x:f>AVERAGE('Генератор'!$E$12:$E$211)</x:f>
        <x:v>7.341494636024806</x:v>
      </x:c>
      <x:c r="C25" s="18" t="n">
        <x:f>ABS(B25-B9)/ABS(B9)</x:f>
        <x:v>0.06914256354371134</x:v>
      </x:c>
      <x:c r="D25" s="11" t="n">
        <x:f>_xlfn.VAR.S('Генератор'!$E$12:$E$211)</x:f>
        <x:v>309.81589365078014</x:v>
      </x:c>
      <x:c r="E25" s="18" t="n">
        <x:f>ABS(D25-D9)/ABS(D9)</x:f>
        <x:v>0.07802010344107603</x:v>
      </x:c>
      <x:c r="F25" s="11" t="n">
        <x:f>_xlfn.STDEV.S('Генератор'!$E$12:$E$211)</x:f>
        <x:v>17.601587816182384</x:v>
      </x:c>
      <x:c r="G25" s="18" t="n">
        <x:f>ABS(F25-F9)/ABS(F9)</x:f>
        <x:v>0.038277469389120404</x:v>
      </x:c>
      <x:c r="H25" s="11" t="n">
        <x:f>F25/B25</x:f>
        <x:v>2.397548277132993</x:v>
      </x:c>
      <x:c r="I25" s="18" t="n">
        <x:f>ABS(H25-H9)/ABS(H9)</x:f>
        <x:v>0.02886901635670322</x:v>
      </x:c>
      <x:c r="J25" s="11" t="n">
        <x:f>1.643*F25/SQRT(A25)</x:f>
        <x:v>2.0449110057649267</x:v>
      </x:c>
      <x:c r="K25" s="18" t="n">
        <x:f>ABS(J25-J9)/ABS(J9)</x:f>
        <x:v>0.03827746938912039</x:v>
      </x:c>
      <x:c r="L25" s="11" t="n">
        <x:f>1.96*F25/SQRT(A25)</x:f>
        <x:v>2.4394556124767233</x:v>
      </x:c>
      <x:c r="M25" s="18" t="n">
        <x:f>ABS(L25-L9)/ABS(L9)</x:f>
        <x:v>0.03827746938912044</x:v>
      </x:c>
      <x:c r="N25" s="11" t="n">
        <x:f>2.576*F25/SQRT(A25)</x:f>
        <x:v>3.2061416621122647</x:v>
      </x:c>
      <x:c r="O25" s="18" t="n">
        <x:f>ABS(N25-N9)/ABS(N9)</x:f>
        <x:v>0.038277469389120335</x:v>
      </x:c>
    </x:row>
    <x:row r="26">
      <x:c r="A26" s="10" t="n">
        <x:v>300</x:v>
      </x:c>
      <x:c r="B26" s="11" t="n">
        <x:f>AVERAGE('Генератор'!$E$12:$E$311)</x:f>
        <x:v>8.02887831120667</x:v>
      </x:c>
      <x:c r="C26" s="18" t="n">
        <x:f>ABS(B26-B10)/ABS(B10)</x:f>
        <x:v>0.0010098578470674668</x:v>
      </x:c>
      <x:c r="D26" s="11" t="n">
        <x:f>_xlfn.VAR.S('Генератор'!$E$12:$E$311)</x:f>
        <x:v>509.988541356982</x:v>
      </x:c>
      <x:c r="E26" s="18" t="n">
        <x:f>ABS(D26-D10)/ABS(D10)</x:f>
        <x:v>0.0008667179227748183</x:v>
      </x:c>
      <x:c r="F26" s="11" t="n">
        <x:f>_xlfn.STDEV.S('Генератор'!$E$12:$E$311)</x:f>
        <x:v>22.58292588122677</x:v>
      </x:c>
      <x:c r="G26" s="18" t="n">
        <x:f>ABS(F26-F10)/ABS(F10)</x:f>
        <x:v>0.00043345290209665125</x:v>
      </x:c>
      <x:c r="H26" s="11" t="n">
        <x:f>F26/B26</x:f>
        <x:v>2.8127124370169656</x:v>
      </x:c>
      <x:c r="I26" s="18" t="n">
        <x:f>ABS(H26-H10)/ABS(H10)</x:f>
        <x:v>0.0014418546809001837</x:v>
      </x:c>
      <x:c r="J26" s="11" t="n">
        <x:f>1.643*F26/SQRT(A26)</x:f>
        <x:v>2.14218584470595</x:v>
      </x:c>
      <x:c r="K26" s="18" t="n">
        <x:f>ABS(J26-J10)/ABS(J10)</x:f>
        <x:v>0.000433452902096561</x:v>
      </x:c>
      <x:c r="L26" s="11" t="n">
        <x:f>1.96*F26/SQRT(A26)</x:f>
        <x:v>2.5554986339766654</x:v>
      </x:c>
      <x:c r="M26" s="18" t="n">
        <x:f>ABS(L26-L10)/ABS(L10)</x:f>
        <x:v>0.0004334529020967162</x:v>
      </x:c>
      <x:c r="N26" s="11" t="n">
        <x:f>2.576*F26/SQRT(A26)</x:f>
        <x:v>3.3586553475121894</x:v>
      </x:c>
      <x:c r="O26" s="18" t="n">
        <x:f>ABS(N26-N10)/ABS(N10)</x:f>
        <x:v>0.0004334529020966746</x:v>
      </x:c>
    </x:row>
    <x:row r="27">
      <x:c r="A27" s="13"/>
      <x:c r="B27" s="13"/>
      <x:c r="C27" s="13"/>
      <x:c r="D27" s="13"/>
      <x:c r="E27" s="13"/>
      <x:c r="F27" s="13"/>
      <x:c r="G27" s="13"/>
      <x:c r="H27" s="13"/>
      <x:c r="I27" s="13"/>
      <x:c r="J27" s="13"/>
      <x:c r="K27" s="13"/>
      <x:c r="L27" s="13"/>
      <x:c r="M27" s="13"/>
      <x:c r="N27" s="13"/>
      <x:c r="O27" s="13"/>
    </x:row>
    <x:row r="28">
      <x:c r="A28" s="15" t="str">
        <x:v>Примечание</x:v>
      </x:c>
      <x:c r="B28" s="13"/>
      <x:c r="C28" s="13"/>
      <x:c r="D28" s="13"/>
      <x:c r="E28" s="13"/>
      <x:c r="F28" s="13"/>
      <x:c r="G28" s="13"/>
      <x:c r="H28" s="13"/>
      <x:c r="I28" s="13"/>
      <x:c r="J28" s="13"/>
      <x:c r="K28" s="13"/>
      <x:c r="L28" s="13"/>
      <x:c r="M28" s="13"/>
      <x:c r="N28" s="13"/>
      <x:c r="O28" s="13"/>
    </x:row>
    <x:row r="29">
      <x:c r="A29" s="22" t="str">
        <x:v>Строки «Откл.» для исходной ЧП рассчитаны относительно n=300; для сгенерированной ЧП — относительно исходной ЧП того же объема.</x:v>
      </x:c>
      <x:c r="B29" s="13"/>
      <x:c r="C29" s="13"/>
      <x:c r="D29" s="13"/>
      <x:c r="E29" s="13"/>
      <x:c r="F29" s="13"/>
      <x:c r="G29" s="13"/>
      <x:c r="H29" s="13"/>
      <x:c r="I29" s="13"/>
      <x:c r="J29" s="13"/>
      <x:c r="K29" s="13"/>
      <x:c r="L29" s="13"/>
      <x:c r="M29" s="13"/>
      <x:c r="N29" s="13"/>
      <x:c r="O29" s="13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0" hidden="0" customWidth="1"/>
    <x:col min="2" max="2" width="40" hidden="0" customWidth="1"/>
    <x:col min="3" max="3" width="18" hidden="0" customWidth="1"/>
    <x:col min="4" max="4" width="18" hidden="0" customWidth="1"/>
    <x:col min="5" max="5" width="18" hidden="0" customWidth="1"/>
  </x:cols>
  <x:sheetData>
    <x:row r="1">
      <x:c r="A1" s="13"/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</x:row>
    <x:row r="2">
      <x:c r="A2" s="14" t="str">
        <x:v>Гистограмма и аппроксимация распределения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</x:row>
    <x:row r="3">
      <x:c r="A3" s="13"/>
      <x:c r="B3" s="13"/>
      <x:c r="C3" s="13"/>
      <x:c r="D3" s="13"/>
      <x:c r="E3" s="13"/>
      <x:c r="F3" s="13"/>
      <x:c r="G3" s="13"/>
      <x:c r="H3" s="13"/>
      <x:c r="I3" s="13"/>
      <x:c r="J3" s="13"/>
      <x:c r="K3" s="13"/>
      <x:c r="L3" s="13"/>
      <x:c r="M3" s="13"/>
      <x:c r="N3" s="13"/>
      <x:c r="O3" s="13"/>
      <x:c r="P3" s="13"/>
    </x:row>
    <x:row r="4">
      <x:c r="A4" s="7" t="str">
        <x:v>Центр интервала</x:v>
      </x:c>
      <x:c r="B4" s="7" t="str">
        <x:v>Исходная ЧП</x:v>
      </x:c>
      <x:c r="C4" s="7" t="str">
        <x:v>Сгенерированная ЧП</x:v>
      </x:c>
      <x:c r="D4" s="7" t="str">
        <x:v>Теоретическая частота H2</x:v>
      </x:c>
      <x:c r="E4" s="7" t="str">
        <x:v>Правая граница</x:v>
      </x:c>
      <x:c r="F4" s="13"/>
      <x:c r="G4" s="13"/>
      <x:c r="H4" s="13"/>
      <x:c r="I4" s="13"/>
      <x:c r="J4" s="13"/>
      <x:c r="K4" s="13"/>
      <x:c r="L4" s="13"/>
      <x:c r="M4" s="13"/>
      <x:c r="N4" s="13"/>
      <x:c r="O4" s="13"/>
      <x:c r="P4" s="13"/>
    </x:row>
    <x:row r="5">
      <x:c r="A5" s="24" t="n">
        <x:v>9.364597996095716</x:v>
      </x:c>
      <x:c r="B5" s="10" t="n">
        <x:v>276</x:v>
      </x:c>
      <x:c r="C5" s="10" t="n">
        <x:v>283</x:v>
      </x:c>
      <x:c r="D5" s="24" t="n">
        <x:v>282.9887363473299</x:v>
      </x:c>
      <x:c r="E5" s="24" t="n">
        <x:v>18.729195992191432</x:v>
      </x:c>
      <x:c r="F5" s="13"/>
      <x:c r="G5" s="13"/>
      <x:c r="H5" s="13"/>
      <x:c r="I5" s="13"/>
      <x:c r="J5" s="13"/>
      <x:c r="K5" s="13"/>
      <x:c r="L5" s="13"/>
      <x:c r="M5" s="13"/>
      <x:c r="N5" s="13"/>
      <x:c r="O5" s="13"/>
      <x:c r="P5" s="13"/>
    </x:row>
    <x:row r="6">
      <x:c r="A6" s="24" t="n">
        <x:v>28.093793988287146</x:v>
      </x:c>
      <x:c r="B6" s="10" t="n">
        <x:v>12</x:v>
      </x:c>
      <x:c r="C6" s="10" t="n">
        <x:v>8</x:v>
      </x:c>
      <x:c r="D6" s="24" t="n">
        <x:v>6.728142508477672</x:v>
      </x:c>
      <x:c r="E6" s="24" t="n">
        <x:v>37.458391984382864</x:v>
      </x:c>
      <x:c r="F6" s="13"/>
      <x:c r="G6" s="13"/>
      <x:c r="H6" s="13"/>
      <x:c r="I6" s="13"/>
      <x:c r="J6" s="13"/>
      <x:c r="K6" s="13"/>
      <x:c r="L6" s="13"/>
      <x:c r="M6" s="13"/>
      <x:c r="N6" s="13"/>
      <x:c r="O6" s="13"/>
      <x:c r="P6" s="13"/>
    </x:row>
    <x:row r="7">
      <x:c r="A7" s="24" t="n">
        <x:v>46.82298998047858</x:v>
      </x:c>
      <x:c r="B7" s="10" t="n">
        <x:v>4</x:v>
      </x:c>
      <x:c r="C7" s="10" t="n">
        <x:v>2</x:v>
      </x:c>
      <x:c r="D7" s="24" t="n">
        <x:v>2.527152465006239</x:v>
      </x:c>
      <x:c r="E7" s="24" t="n">
        <x:v>56.18758797657429</x:v>
      </x:c>
      <x:c r="F7" s="13"/>
      <x:c r="G7" s="13"/>
      <x:c r="H7" s="13"/>
      <x:c r="I7" s="13"/>
      <x:c r="J7" s="13"/>
      <x:c r="K7" s="13"/>
      <x:c r="L7" s="13"/>
      <x:c r="M7" s="13"/>
      <x:c r="N7" s="13"/>
      <x:c r="O7" s="13"/>
      <x:c r="P7" s="13"/>
    </x:row>
    <x:row r="8">
      <x:c r="A8" s="24" t="n">
        <x:v>65.55218597267</x:v>
      </x:c>
      <x:c r="B8" s="10" t="n">
        <x:v>4</x:v>
      </x:c>
      <x:c r="C8" s="10" t="n">
        <x:v>1</x:v>
      </x:c>
      <x:c r="D8" s="24" t="n">
        <x:v>1.8822143902015942</x:v>
      </x:c>
      <x:c r="E8" s="24" t="n">
        <x:v>74.91678396876573</x:v>
      </x:c>
      <x:c r="F8" s="13"/>
      <x:c r="G8" s="13"/>
      <x:c r="H8" s="13"/>
      <x:c r="I8" s="13"/>
      <x:c r="J8" s="13"/>
      <x:c r="K8" s="13"/>
      <x:c r="L8" s="13"/>
      <x:c r="M8" s="13"/>
      <x:c r="N8" s="13"/>
      <x:c r="O8" s="13"/>
      <x:c r="P8" s="13"/>
    </x:row>
    <x:row r="9">
      <x:c r="A9" s="24" t="n">
        <x:v>84.28138196486145</x:v>
      </x:c>
      <x:c r="B9" s="10" t="n">
        <x:v>1</x:v>
      </x:c>
      <x:c r="C9" s="10" t="n">
        <x:v>2</x:v>
      </x:c>
      <x:c r="D9" s="24" t="n">
        <x:v>1.4251430116659012</x:v>
      </x:c>
      <x:c r="E9" s="24" t="n">
        <x:v>93.64597996095716</x:v>
      </x:c>
      <x:c r="F9" s="13"/>
      <x:c r="G9" s="13"/>
      <x:c r="H9" s="13"/>
      <x:c r="I9" s="13"/>
      <x:c r="J9" s="13"/>
      <x:c r="K9" s="13"/>
      <x:c r="L9" s="13"/>
      <x:c r="M9" s="13"/>
      <x:c r="N9" s="13"/>
      <x:c r="O9" s="13"/>
      <x:c r="P9" s="13"/>
    </x:row>
    <x:row r="10">
      <x:c r="A10" s="24" t="n">
        <x:v>103.01057795705287</x:v>
      </x:c>
      <x:c r="B10" s="10" t="n">
        <x:v>1</x:v>
      </x:c>
      <x:c r="C10" s="10" t="n">
        <x:v>0</x:v>
      </x:c>
      <x:c r="D10" s="24" t="n">
        <x:v>1.0793583466931294</x:v>
      </x:c>
      <x:c r="E10" s="24" t="n">
        <x:v>112.37517595314858</x:v>
      </x:c>
      <x:c r="F10" s="13"/>
      <x:c r="G10" s="13"/>
      <x:c r="H10" s="13"/>
      <x:c r="I10" s="13"/>
      <x:c r="J10" s="13"/>
      <x:c r="K10" s="13"/>
      <x:c r="L10" s="13"/>
      <x:c r="M10" s="13"/>
      <x:c r="N10" s="13"/>
      <x:c r="O10" s="13"/>
      <x:c r="P10" s="13"/>
    </x:row>
    <x:row r="11">
      <x:c r="A11" s="24" t="n">
        <x:v>121.73977394924431</x:v>
      </x:c>
      <x:c r="B11" s="10" t="n">
        <x:v>0</x:v>
      </x:c>
      <x:c r="C11" s="10" t="n">
        <x:v>1</x:v>
      </x:c>
      <x:c r="D11" s="24" t="n">
        <x:v>0.817475577006462</x:v>
      </x:c>
      <x:c r="E11" s="24" t="n">
        <x:v>131.10437194534003</x:v>
      </x:c>
      <x:c r="F11" s="13"/>
      <x:c r="G11" s="13"/>
      <x:c r="H11" s="13"/>
      <x:c r="I11" s="13"/>
      <x:c r="J11" s="13"/>
      <x:c r="K11" s="13"/>
      <x:c r="L11" s="13"/>
      <x:c r="M11" s="13"/>
      <x:c r="N11" s="13"/>
      <x:c r="O11" s="13"/>
      <x:c r="P11" s="13"/>
    </x:row>
    <x:row r="12">
      <x:c r="A12" s="24" t="n">
        <x:v>140.46896994143574</x:v>
      </x:c>
      <x:c r="B12" s="10" t="n">
        <x:v>0</x:v>
      </x:c>
      <x:c r="C12" s="10" t="n">
        <x:v>1</x:v>
      </x:c>
      <x:c r="D12" s="24" t="n">
        <x:v>0.6191329964241435</x:v>
      </x:c>
      <x:c r="E12" s="24" t="n">
        <x:v>149.83356793753146</x:v>
      </x:c>
      <x:c r="F12" s="13"/>
      <x:c r="G12" s="13"/>
      <x:c r="H12" s="13"/>
      <x:c r="I12" s="13"/>
      <x:c r="J12" s="13"/>
      <x:c r="K12" s="13"/>
      <x:c r="L12" s="13"/>
      <x:c r="M12" s="13"/>
      <x:c r="N12" s="13"/>
      <x:c r="O12" s="13"/>
      <x:c r="P12" s="13"/>
    </x:row>
    <x:row r="13">
      <x:c r="A13" s="24" t="n">
        <x:v>159.19816593362717</x:v>
      </x:c>
      <x:c r="B13" s="10" t="n">
        <x:v>0</x:v>
      </x:c>
      <x:c r="C13" s="10" t="n">
        <x:v>1</x:v>
      </x:c>
      <x:c r="D13" s="24" t="n">
        <x:v>0.4689139082520424</x:v>
      </x:c>
      <x:c r="E13" s="24" t="n">
        <x:v>168.56276392972288</x:v>
      </x:c>
      <x:c r="F13" s="13"/>
      <x:c r="G13" s="13"/>
      <x:c r="H13" s="13"/>
      <x:c r="I13" s="13"/>
      <x:c r="J13" s="13"/>
      <x:c r="K13" s="13"/>
      <x:c r="L13" s="13"/>
      <x:c r="M13" s="13"/>
      <x:c r="N13" s="13"/>
      <x:c r="O13" s="13"/>
      <x:c r="P13" s="13"/>
    </x:row>
    <x:row r="14">
      <x:c r="A14" s="24" t="n">
        <x:v>177.92736192581862</x:v>
      </x:c>
      <x:c r="B14" s="10" t="n">
        <x:v>1</x:v>
      </x:c>
      <x:c r="C14" s="10" t="n">
        <x:v>0</x:v>
      </x:c>
      <x:c r="D14" s="24" t="n">
        <x:v>0.3551421982456006</x:v>
      </x:c>
      <x:c r="E14" s="24" t="n">
        <x:v>187.29195992191433</x:v>
      </x:c>
      <x:c r="F14" s="13"/>
      <x:c r="G14" s="13"/>
      <x:c r="H14" s="13"/>
      <x:c r="I14" s="13"/>
      <x:c r="J14" s="13"/>
      <x:c r="K14" s="13"/>
      <x:c r="L14" s="13"/>
      <x:c r="M14" s="13"/>
      <x:c r="N14" s="13"/>
      <x:c r="O14" s="13"/>
      <x:c r="P14" s="13"/>
    </x:row>
    <x:row r="15">
      <x:c r="A15" s="24" t="n">
        <x:v>196.65655791801004</x:v>
      </x:c>
      <x:c r="B15" s="10" t="n">
        <x:v>0</x:v>
      </x:c>
      <x:c r="C15" s="10" t="n">
        <x:v>0</x:v>
      </x:c>
      <x:c r="D15" s="24" t="n">
        <x:v>0.2689747067748808</x:v>
      </x:c>
      <x:c r="E15" s="24" t="n">
        <x:v>206.02115591410575</x:v>
      </x:c>
      <x:c r="F15" s="13"/>
      <x:c r="G15" s="13"/>
      <x:c r="H15" s="13"/>
      <x:c r="I15" s="13"/>
      <x:c r="J15" s="13"/>
      <x:c r="K15" s="13"/>
      <x:c r="L15" s="13"/>
      <x:c r="M15" s="13"/>
      <x:c r="N15" s="13"/>
      <x:c r="O15" s="13"/>
      <x:c r="P15" s="13"/>
    </x:row>
    <x:row r="16">
      <x:c r="A16" s="24" t="n">
        <x:v>215.38575391020146</x:v>
      </x:c>
      <x:c r="B16" s="10" t="n">
        <x:v>0</x:v>
      </x:c>
      <x:c r="C16" s="10" t="n">
        <x:v>0</x:v>
      </x:c>
      <x:c r="D16" s="24" t="n">
        <x:v>0.20371387360338858</x:v>
      </x:c>
      <x:c r="E16" s="24" t="n">
        <x:v>224.75035190629717</x:v>
      </x:c>
      <x:c r="F16" s="13"/>
      <x:c r="G16" s="13"/>
      <x:c r="H16" s="13"/>
      <x:c r="I16" s="13"/>
      <x:c r="J16" s="13"/>
      <x:c r="K16" s="13"/>
      <x:c r="L16" s="13"/>
      <x:c r="M16" s="13"/>
      <x:c r="N16" s="13"/>
      <x:c r="O16" s="13"/>
      <x:c r="P16" s="13"/>
    </x:row>
    <x:row r="17">
      <x:c r="A17" s="24" t="n">
        <x:v>234.11494990239288</x:v>
      </x:c>
      <x:c r="B17" s="10" t="n">
        <x:v>0</x:v>
      </x:c>
      <x:c r="C17" s="10" t="n">
        <x:v>0</x:v>
      </x:c>
      <x:c r="D17" s="24" t="n">
        <x:v>0.1542871550864085</x:v>
      </x:c>
      <x:c r="E17" s="24" t="n">
        <x:v>243.47954789848862</x:v>
      </x:c>
      <x:c r="F17" s="13"/>
      <x:c r="G17" s="13"/>
      <x:c r="H17" s="13"/>
      <x:c r="I17" s="13"/>
      <x:c r="J17" s="13"/>
      <x:c r="K17" s="13"/>
      <x:c r="L17" s="13"/>
      <x:c r="M17" s="13"/>
      <x:c r="N17" s="13"/>
      <x:c r="O17" s="13"/>
      <x:c r="P17" s="13"/>
    </x:row>
    <x:row r="18">
      <x:c r="A18" s="24" t="n">
        <x:v>252.84414589458436</x:v>
      </x:c>
      <x:c r="B18" s="10" t="n">
        <x:v>0</x:v>
      </x:c>
      <x:c r="C18" s="10" t="n">
        <x:v>0</x:v>
      </x:c>
      <x:c r="D18" s="24" t="n">
        <x:v>0.11685274941559758</x:v>
      </x:c>
      <x:c r="E18" s="24" t="n">
        <x:v>262.20874389068007</x:v>
      </x:c>
      <x:c r="F18" s="13"/>
      <x:c r="G18" s="13"/>
      <x:c r="H18" s="13"/>
      <x:c r="I18" s="13"/>
      <x:c r="J18" s="13"/>
      <x:c r="K18" s="13"/>
      <x:c r="L18" s="13"/>
      <x:c r="M18" s="13"/>
      <x:c r="N18" s="13"/>
      <x:c r="O18" s="13"/>
      <x:c r="P18" s="13"/>
    </x:row>
    <x:row r="19">
      <x:c r="A19" s="24" t="n">
        <x:v>271.5733418867758</x:v>
      </x:c>
      <x:c r="B19" s="10" t="n">
        <x:v>1</x:v>
      </x:c>
      <x:c r="C19" s="10" t="n">
        <x:v>1</x:v>
      </x:c>
      <x:c r="D19" s="24" t="n">
        <x:v>0.08850098401475602</x:v>
      </x:c>
      <x:c r="E19" s="24" t="n">
        <x:v>280.9379398828715</x:v>
      </x:c>
      <x:c r="F19" s="13"/>
      <x:c r="G19" s="13"/>
      <x:c r="H19" s="13"/>
      <x:c r="I19" s="13"/>
      <x:c r="J19" s="13"/>
      <x:c r="K19" s="13"/>
      <x:c r="L19" s="13"/>
      <x:c r="M19" s="13"/>
      <x:c r="N19" s="13"/>
      <x:c r="O19" s="13"/>
      <x:c r="P19" s="13"/>
    </x:row>
    <x:row r="20">
      <x:c r="A20" s="13"/>
      <x:c r="B20" s="13"/>
      <x:c r="C20" s="13"/>
      <x:c r="D20" s="13"/>
      <x:c r="E20" s="13"/>
      <x:c r="F20" s="13"/>
      <x:c r="G20" s="13"/>
      <x:c r="H20" s="13"/>
      <x:c r="I20" s="13"/>
      <x:c r="J20" s="13"/>
      <x:c r="K20" s="13"/>
      <x:c r="L20" s="13"/>
      <x:c r="M20" s="13"/>
      <x:c r="N20" s="13"/>
      <x:c r="O20" s="13"/>
      <x:c r="P20" s="13"/>
    </x:row>
    <x:row r="21">
      <x:c r="A21" s="13"/>
      <x:c r="B21" s="13"/>
      <x:c r="C21" s="13"/>
      <x:c r="D21" s="13"/>
      <x:c r="E21" s="13"/>
      <x:c r="F21" s="13"/>
      <x:c r="G21" s="13"/>
      <x:c r="H21" s="13"/>
      <x:c r="I21" s="13"/>
      <x:c r="J21" s="13"/>
      <x:c r="K21" s="13"/>
      <x:c r="L21" s="13"/>
      <x:c r="M21" s="13"/>
      <x:c r="N21" s="13"/>
      <x:c r="O21" s="13"/>
      <x:c r="P21" s="13"/>
    </x:row>
    <x:row r="22">
      <x:c r="A22" s="7" t="str">
        <x:v>Параметр H2</x:v>
      </x:c>
      <x:c r="B22" s="7" t="str">
        <x:v>Значение</x:v>
      </x:c>
      <x:c r="C22" s="13"/>
      <x:c r="D22" s="13"/>
      <x:c r="E22" s="13"/>
      <x:c r="F22" s="13"/>
      <x:c r="G22" s="13"/>
      <x:c r="H22" s="13"/>
      <x:c r="I22" s="13"/>
      <x:c r="J22" s="13"/>
      <x:c r="K22" s="13"/>
      <x:c r="L22" s="13"/>
      <x:c r="M22" s="13"/>
      <x:c r="N22" s="13"/>
      <x:c r="O22" s="13"/>
      <x:c r="P22" s="13"/>
    </x:row>
    <x:row r="23">
      <x:c r="A23" s="10" t="str">
        <x:v>p</x:v>
      </x:c>
      <x:c r="B23" s="16" t="n">
        <x:v>0.9404944635474064</x:v>
      </x:c>
      <x:c r="C23" s="13"/>
      <x:c r="D23" s="13"/>
      <x:c r="E23" s="13"/>
      <x:c r="F23" s="13"/>
      <x:c r="G23" s="13"/>
      <x:c r="H23" s="13"/>
      <x:c r="I23" s="13"/>
      <x:c r="J23" s="13"/>
      <x:c r="K23" s="13"/>
      <x:c r="L23" s="13"/>
      <x:c r="M23" s="13"/>
      <x:c r="N23" s="13"/>
      <x:c r="O23" s="13"/>
      <x:c r="P23" s="13"/>
    </x:row>
    <x:row r="24">
      <x:c r="A24" s="10" t="str">
        <x:v>μ1</x:v>
      </x:c>
      <x:c r="B24" s="16" t="n">
        <x:v>0.23451450944211719</x:v>
      </x:c>
      <x:c r="C24" s="13"/>
      <x:c r="D24" s="13"/>
      <x:c r="E24" s="13"/>
      <x:c r="F24" s="13"/>
      <x:c r="G24" s="13"/>
      <x:c r="H24" s="13"/>
      <x:c r="I24" s="13"/>
      <x:c r="J24" s="13"/>
      <x:c r="K24" s="13"/>
      <x:c r="L24" s="13"/>
      <x:c r="M24" s="13"/>
      <x:c r="N24" s="13"/>
      <x:c r="O24" s="13"/>
      <x:c r="P24" s="13"/>
    </x:row>
    <x:row r="25">
      <x:c r="A25" s="10" t="str">
        <x:v>μ2</x:v>
      </x:c>
      <x:c r="B25" s="16" t="n">
        <x:v>0.014837845655820388</x:v>
      </x:c>
      <x:c r="C25" s="13"/>
      <x:c r="D25" s="13"/>
      <x:c r="E25" s="13"/>
      <x:c r="F25" s="13"/>
      <x:c r="G25" s="13"/>
      <x:c r="H25" s="13"/>
      <x:c r="I25" s="13"/>
      <x:c r="J25" s="13"/>
      <x:c r="K25" s="13"/>
      <x:c r="L25" s="13"/>
      <x:c r="M25" s="13"/>
      <x:c r="N25" s="13"/>
      <x:c r="O25" s="13"/>
      <x:c r="P25" s="13"/>
    </x:row>
    <x:row r="26">
      <x:c r="A26" s="10" t="str">
        <x:v>Формула генерации</x:v>
      </x:c>
      <x:c r="B26" s="17" t="str">
        <x:v>U1≤p: -ln(U2)/μ1; иначе -ln(U2)/μ2</x:v>
      </x:c>
      <x:c r="C26" s="13"/>
      <x:c r="D26" s="13"/>
      <x:c r="E26" s="13"/>
      <x:c r="F26" s="13"/>
      <x:c r="G26" s="13"/>
      <x:c r="H26" s="13"/>
      <x:c r="I26" s="13"/>
      <x:c r="J26" s="13"/>
      <x:c r="K26" s="13"/>
      <x:c r="L26" s="13"/>
      <x:c r="M26" s="13"/>
      <x:c r="N26" s="13"/>
      <x:c r="O26" s="13"/>
      <x:c r="P26" s="13"/>
    </x:row>
    <x:row r="27">
      <x:c r="A27" s="10" t="str">
        <x:v>Вывод</x:v>
      </x:c>
      <x:c r="B27" s="17" t="str">
        <x:v>При Cv &gt; 1 выбрано двухфазное гиперэкспоненциальное распределение</x:v>
      </x:c>
      <x:c r="C27" s="13"/>
      <x:c r="D27" s="13"/>
      <x:c r="E27" s="13"/>
      <x:c r="F27" s="13"/>
      <x:c r="G27" s="13"/>
      <x:c r="H27" s="13"/>
      <x:c r="I27" s="13"/>
      <x:c r="J27" s="13"/>
      <x:c r="K27" s="13"/>
      <x:c r="L27" s="13"/>
      <x:c r="M27" s="13"/>
      <x:c r="N27" s="13"/>
      <x:c r="O27" s="13"/>
      <x:c r="P27" s="13"/>
    </x:row>
    <x:row r="28">
      <x:c r="A28" s="13"/>
      <x:c r="B28" s="13"/>
      <x:c r="C28" s="13"/>
      <x:c r="D28" s="13"/>
      <x:c r="E28" s="13"/>
      <x:c r="F28" s="13"/>
      <x:c r="G28" s="13"/>
      <x:c r="H28" s="13"/>
      <x:c r="I28" s="13"/>
      <x:c r="J28" s="13"/>
      <x:c r="K28" s="13"/>
      <x:c r="L28" s="13"/>
      <x:c r="M28" s="13"/>
      <x:c r="N28" s="13"/>
      <x:c r="O28" s="13"/>
      <x:c r="P28" s="13"/>
    </x:row>
    <x:row r="29">
      <x:c r="A29" s="13"/>
      <x:c r="B29" s="13"/>
      <x:c r="C29" s="13"/>
      <x:c r="D29" s="13"/>
      <x:c r="E29" s="13"/>
      <x:c r="F29" s="13"/>
      <x:c r="G29" s="13"/>
      <x:c r="H29" s="13"/>
      <x:c r="I29" s="13"/>
      <x:c r="J29" s="13"/>
      <x:c r="K29" s="13"/>
      <x:c r="L29" s="13"/>
      <x:c r="M29" s="13"/>
      <x:c r="N29" s="13"/>
      <x:c r="O29" s="13"/>
      <x:c r="P29" s="13"/>
    </x:row>
    <x:row r="30">
      <x:c r="A30" s="13"/>
      <x:c r="B30" s="13"/>
      <x:c r="C30" s="13"/>
      <x:c r="D30" s="13"/>
      <x:c r="E30" s="13"/>
      <x:c r="F30" s="13"/>
      <x:c r="G30" s="13"/>
      <x:c r="H30" s="13"/>
      <x:c r="I30" s="13"/>
      <x:c r="J30" s="13"/>
      <x:c r="K30" s="13"/>
      <x:c r="L30" s="13"/>
      <x:c r="M30" s="13"/>
      <x:c r="N30" s="13"/>
      <x:c r="O30" s="13"/>
      <x:c r="P30" s="13"/>
    </x:row>
    <x:row r="31">
      <x:c r="A31" s="13"/>
      <x:c r="B31" s="13"/>
      <x:c r="C31" s="13"/>
      <x:c r="D31" s="13"/>
      <x:c r="E31" s="13"/>
      <x:c r="F31" s="13"/>
      <x:c r="G31" s="13"/>
      <x:c r="H31" s="13"/>
      <x:c r="I31" s="13"/>
      <x:c r="J31" s="13"/>
      <x:c r="K31" s="13"/>
      <x:c r="L31" s="13"/>
      <x:c r="M31" s="13"/>
      <x:c r="N31" s="13"/>
      <x:c r="O31" s="13"/>
      <x:c r="P31" s="13"/>
    </x:row>
    <x:row r="32">
      <x:c r="A32" s="13"/>
      <x:c r="B32" s="13"/>
      <x:c r="C32" s="13"/>
      <x:c r="D32" s="13"/>
      <x:c r="E32" s="13"/>
      <x:c r="F32" s="13"/>
      <x:c r="G32" s="13"/>
      <x:c r="H32" s="13"/>
      <x:c r="I32" s="13"/>
      <x:c r="J32" s="13"/>
      <x:c r="K32" s="13"/>
      <x:c r="L32" s="13"/>
      <x:c r="M32" s="13"/>
      <x:c r="N32" s="13"/>
      <x:c r="O32" s="13"/>
      <x:c r="P32" s="13"/>
    </x:row>
    <x:row r="33">
      <x:c r="A33" s="13"/>
      <x:c r="B33" s="13"/>
      <x:c r="C33" s="13"/>
      <x:c r="D33" s="13"/>
      <x:c r="E33" s="13"/>
      <x:c r="F33" s="13"/>
      <x:c r="G33" s="13"/>
      <x:c r="H33" s="13"/>
      <x:c r="I33" s="13"/>
      <x:c r="J33" s="13"/>
      <x:c r="K33" s="13"/>
      <x:c r="L33" s="13"/>
      <x:c r="M33" s="13"/>
      <x:c r="N33" s="13"/>
      <x:c r="O33" s="13"/>
      <x:c r="P33" s="13"/>
    </x:row>
    <x:row r="34">
      <x:c r="A34" s="13"/>
      <x:c r="B34" s="13"/>
      <x:c r="C34" s="13"/>
      <x:c r="D34" s="13"/>
      <x:c r="E34" s="13"/>
      <x:c r="F34" s="13"/>
      <x:c r="G34" s="13"/>
      <x:c r="H34" s="13"/>
      <x:c r="I34" s="13"/>
      <x:c r="J34" s="13"/>
      <x:c r="K34" s="13"/>
      <x:c r="L34" s="13"/>
      <x:c r="M34" s="13"/>
      <x:c r="N34" s="13"/>
      <x:c r="O34" s="13"/>
      <x:c r="P34" s="13"/>
    </x:row>
    <x:row r="35">
      <x:c r="A35" s="13"/>
      <x:c r="B35" s="13"/>
      <x:c r="C35" s="13"/>
      <x:c r="D35" s="13"/>
      <x:c r="E35" s="13"/>
      <x:c r="F35" s="13"/>
      <x:c r="G35" s="13"/>
      <x:c r="H35" s="13"/>
      <x:c r="I35" s="13"/>
      <x:c r="J35" s="13"/>
      <x:c r="K35" s="13"/>
      <x:c r="L35" s="13"/>
      <x:c r="M35" s="13"/>
      <x:c r="N35" s="13"/>
      <x:c r="O35" s="13"/>
      <x:c r="P35" s="13"/>
    </x:row>
    <x:row r="36">
      <x:c r="A36" s="13"/>
      <x:c r="B36" s="13"/>
      <x:c r="C36" s="13"/>
      <x:c r="D36" s="13"/>
      <x:c r="E36" s="13"/>
      <x:c r="F36" s="13"/>
      <x:c r="G36" s="13"/>
      <x:c r="H36" s="13"/>
      <x:c r="I36" s="13"/>
      <x:c r="J36" s="13"/>
      <x:c r="K36" s="13"/>
      <x:c r="L36" s="13"/>
      <x:c r="M36" s="13"/>
      <x:c r="N36" s="13"/>
      <x:c r="O36" s="13"/>
      <x:c r="P36" s="13"/>
    </x:row>
    <x:row r="37">
      <x:c r="A37" s="13"/>
      <x:c r="B37" s="13"/>
      <x:c r="C37" s="13"/>
      <x:c r="D37" s="13"/>
      <x:c r="E37" s="13"/>
      <x:c r="F37" s="13"/>
      <x:c r="G37" s="13"/>
      <x:c r="H37" s="13"/>
      <x:c r="I37" s="13"/>
      <x:c r="J37" s="13"/>
      <x:c r="K37" s="13"/>
      <x:c r="L37" s="13"/>
      <x:c r="M37" s="13"/>
      <x:c r="N37" s="13"/>
      <x:c r="O37" s="13"/>
      <x:c r="P37" s="13"/>
    </x:row>
    <x:row r="38">
      <x:c r="A38" s="13"/>
      <x:c r="B38" s="13"/>
      <x:c r="C38" s="13"/>
      <x:c r="D38" s="13"/>
      <x:c r="E38" s="13"/>
      <x:c r="F38" s="13"/>
      <x:c r="G38" s="13"/>
      <x:c r="H38" s="13"/>
      <x:c r="I38" s="13"/>
      <x:c r="J38" s="13"/>
      <x:c r="K38" s="13"/>
      <x:c r="L38" s="13"/>
      <x:c r="M38" s="13"/>
      <x:c r="N38" s="13"/>
      <x:c r="O38" s="13"/>
      <x:c r="P38" s="13"/>
    </x:row>
  </x:sheetData>
  <x:pageMargins left="0.7" right="0.7" top="0.75" bottom="0.75" header="0.3" footer="0.3"/>
  <x:drawing xmlns:r="http://schemas.openxmlformats.org/officeDocument/2006/relationships" r:id="Rca72fea4fbef4ad9"/>
</x:worksheet>
</file>

<file path=xl/worksheets/sheet4.xml><?xml version="1.0" encoding="utf-8"?>
<x:worksheet xmlns:x="http://schemas.openxmlformats.org/spreadsheetml/2006/main">
  <x:sheetViews>
    <x:sheetView showGridLines="1" workbookViewId="0"/>
  </x:sheetViews>
  <x:sheetFormatPr defaultRowHeight="15"/>
  <x:cols>
    <x:col min="1" max="1" width="28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</x:cols>
  <x:sheetData>
    <x:row r="1">
      <x:c r="A1" s="13"/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</x:row>
    <x:row r="2">
      <x:c r="A2" s="14" t="str">
        <x:v>Автокорреляционный анализ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</x:row>
    <x:row r="3">
      <x:c r="A3" s="13"/>
      <x:c r="B3" s="13"/>
      <x:c r="C3" s="13"/>
      <x:c r="D3" s="13"/>
      <x:c r="E3" s="13"/>
      <x:c r="F3" s="13"/>
      <x:c r="G3" s="13"/>
      <x:c r="H3" s="13"/>
      <x:c r="I3" s="13"/>
      <x:c r="J3" s="13"/>
      <x:c r="K3" s="13"/>
      <x:c r="L3" s="13"/>
      <x:c r="M3" s="13"/>
      <x:c r="N3" s="13"/>
      <x:c r="O3" s="13"/>
    </x:row>
    <x:row r="4">
      <x:c r="A4" s="7" t="str">
        <x:v>Сдвиг</x:v>
      </x:c>
      <x:c r="B4" s="7" t="str">
        <x:v>Исходная ЧП</x:v>
      </x:c>
      <x:c r="C4" s="7" t="str">
        <x:v>Сгенерированная ЧП</x:v>
      </x:c>
      <x:c r="D4" s="7" t="str">
        <x:v>Откл., %</x:v>
      </x:c>
      <x:c r="E4" s="7" t="str">
        <x:v>Граница 95 %</x:v>
      </x:c>
      <x:c r="F4" s="13"/>
      <x:c r="G4" s="13"/>
      <x:c r="H4" s="13"/>
      <x:c r="I4" s="13"/>
      <x:c r="J4" s="13"/>
      <x:c r="K4" s="13"/>
      <x:c r="L4" s="13"/>
      <x:c r="M4" s="13"/>
      <x:c r="N4" s="13"/>
      <x:c r="O4" s="13"/>
    </x:row>
    <x:row r="5">
      <x:c r="A5" s="10" t="n">
        <x:v>1</x:v>
      </x:c>
      <x:c r="B5" s="23" t="n">
        <x:f>CORREL('Исходные данные'!$B$5:$B$303,'Исходные данные'!$B$6:$B$304)</x:f>
        <x:v>-0.04097324594939865</x:v>
      </x:c>
      <x:c r="C5" s="23" t="n">
        <x:f>CORREL('Генератор'!$E$12:$E$310,'Генератор'!$E$13:$E$311)</x:f>
        <x:v>0.019398808885156566</x:v>
      </x:c>
      <x:c r="D5" s="18" t="n">
        <x:f>IF(ABS(B5)&lt;0.000001,"н/д",ABS(C5-B5)/ABS(B5))</x:f>
        <x:v>1.4734506245639851</x:v>
      </x:c>
      <x:c r="E5" s="23" t="n">
        <x:v>0.11316065276116663</x:v>
      </x:c>
      <x:c r="F5" s="13"/>
      <x:c r="G5" s="13"/>
      <x:c r="H5" s="13"/>
      <x:c r="I5" s="13"/>
      <x:c r="J5" s="13"/>
      <x:c r="K5" s="13"/>
      <x:c r="L5" s="13"/>
      <x:c r="M5" s="13"/>
      <x:c r="N5" s="13"/>
      <x:c r="O5" s="13"/>
    </x:row>
    <x:row r="6">
      <x:c r="A6" s="10" t="n">
        <x:v>2</x:v>
      </x:c>
      <x:c r="B6" s="23" t="n">
        <x:f>CORREL('Исходные данные'!$B$5:$B$302,'Исходные данные'!$B$7:$B$304)</x:f>
        <x:v>-0.03859100597274879</x:v>
      </x:c>
      <x:c r="C6" s="23" t="n">
        <x:f>CORREL('Генератор'!$E$12:$E$309,'Генератор'!$E$14:$E$311)</x:f>
        <x:v>-0.03235827647769642</x:v>
      </x:c>
      <x:c r="D6" s="18" t="n">
        <x:f>IF(ABS(B6)&lt;0.000001,"н/д",ABS(C6-B6)/ABS(B6))</x:f>
        <x:v>0.16150730819128262</x:v>
      </x:c>
      <x:c r="E6" s="23" t="n">
        <x:v>0.11316065276116663</x:v>
      </x:c>
      <x:c r="F6" s="13"/>
      <x:c r="G6" s="13"/>
      <x:c r="H6" s="13"/>
      <x:c r="I6" s="13"/>
      <x:c r="J6" s="13"/>
      <x:c r="K6" s="13"/>
      <x:c r="L6" s="13"/>
      <x:c r="M6" s="13"/>
      <x:c r="N6" s="13"/>
      <x:c r="O6" s="13"/>
    </x:row>
    <x:row r="7">
      <x:c r="A7" s="10" t="n">
        <x:v>3</x:v>
      </x:c>
      <x:c r="B7" s="23" t="n">
        <x:f>CORREL('Исходные данные'!$B$5:$B$301,'Исходные данные'!$B$8:$B$304)</x:f>
        <x:v>0.03355071986446347</x:v>
      </x:c>
      <x:c r="C7" s="23" t="n">
        <x:f>CORREL('Генератор'!$E$12:$E$308,'Генератор'!$E$15:$E$311)</x:f>
        <x:v>-0.008279308717996751</x:v>
      </x:c>
      <x:c r="D7" s="18" t="n">
        <x:f>IF(ABS(B7)&lt;0.000001,"н/д",ABS(C7-B7)/ABS(B7))</x:f>
        <x:v>1.246769927782268</x:v>
      </x:c>
      <x:c r="E7" s="23" t="n">
        <x:v>0.11316065276116663</x:v>
      </x:c>
      <x:c r="F7" s="13"/>
      <x:c r="G7" s="13"/>
      <x:c r="H7" s="13"/>
      <x:c r="I7" s="13"/>
      <x:c r="J7" s="13"/>
      <x:c r="K7" s="13"/>
      <x:c r="L7" s="13"/>
      <x:c r="M7" s="13"/>
      <x:c r="N7" s="13"/>
      <x:c r="O7" s="13"/>
    </x:row>
    <x:row r="8">
      <x:c r="A8" s="10" t="n">
        <x:v>4</x:v>
      </x:c>
      <x:c r="B8" s="23" t="n">
        <x:f>CORREL('Исходные данные'!$B$5:$B$300,'Исходные данные'!$B$9:$B$304)</x:f>
        <x:v>-0.039807015180696306</x:v>
      </x:c>
      <x:c r="C8" s="23" t="n">
        <x:f>CORREL('Генератор'!$E$12:$E$307,'Генератор'!$E$16:$E$311)</x:f>
        <x:v>-0.034614817564928055</x:v>
      </x:c>
      <x:c r="D8" s="18" t="n">
        <x:f>IF(ABS(B8)&lt;0.000001,"н/д",ABS(C8-B8)/ABS(B8))</x:f>
        <x:v>0.1304342360812351</x:v>
      </x:c>
      <x:c r="E8" s="23" t="n">
        <x:v>0.11316065276116663</x:v>
      </x:c>
      <x:c r="F8" s="13"/>
      <x:c r="G8" s="13"/>
      <x:c r="H8" s="13"/>
      <x:c r="I8" s="13"/>
      <x:c r="J8" s="13"/>
      <x:c r="K8" s="13"/>
      <x:c r="L8" s="13"/>
      <x:c r="M8" s="13"/>
      <x:c r="N8" s="13"/>
      <x:c r="O8" s="13"/>
    </x:row>
    <x:row r="9">
      <x:c r="A9" s="10" t="n">
        <x:v>5</x:v>
      </x:c>
      <x:c r="B9" s="23" t="n">
        <x:f>CORREL('Исходные данные'!$B$5:$B$299,'Исходные данные'!$B$10:$B$304)</x:f>
        <x:v>-0.04508965490660909</x:v>
      </x:c>
      <x:c r="C9" s="23" t="n">
        <x:f>CORREL('Генератор'!$E$12:$E$306,'Генератор'!$E$17:$E$311)</x:f>
        <x:v>-0.01786421281894183</x:v>
      </x:c>
      <x:c r="D9" s="18" t="n">
        <x:f>IF(ABS(B9)&lt;0.000001,"н/д",ABS(C9-B9)/ABS(B9))</x:f>
        <x:v>0.6038068409274219</x:v>
      </x:c>
      <x:c r="E9" s="23" t="n">
        <x:v>0.11316065276116663</x:v>
      </x:c>
      <x:c r="F9" s="13"/>
      <x:c r="G9" s="13"/>
      <x:c r="H9" s="13"/>
      <x:c r="I9" s="13"/>
      <x:c r="J9" s="13"/>
      <x:c r="K9" s="13"/>
      <x:c r="L9" s="13"/>
      <x:c r="M9" s="13"/>
      <x:c r="N9" s="13"/>
      <x:c r="O9" s="13"/>
    </x:row>
    <x:row r="10">
      <x:c r="A10" s="10" t="n">
        <x:v>6</x:v>
      </x:c>
      <x:c r="B10" s="23" t="n">
        <x:f>CORREL('Исходные данные'!$B$5:$B$298,'Исходные данные'!$B$11:$B$304)</x:f>
        <x:v>0.13536727534291312</x:v>
      </x:c>
      <x:c r="C10" s="23" t="n">
        <x:f>CORREL('Генератор'!$E$12:$E$305,'Генератор'!$E$18:$E$311)</x:f>
        <x:v>-0.01643129630588</x:v>
      </x:c>
      <x:c r="D10" s="18" t="n">
        <x:f>IF(ABS(B10)&lt;0.000001,"н/д",ABS(C10-B10)/ABS(B10))</x:f>
        <x:v>1.1213830762586907</x:v>
      </x:c>
      <x:c r="E10" s="23" t="n">
        <x:v>0.11316065276116663</x:v>
      </x:c>
      <x:c r="F10" s="13"/>
      <x:c r="G10" s="13"/>
      <x:c r="H10" s="13"/>
      <x:c r="I10" s="13"/>
      <x:c r="J10" s="13"/>
      <x:c r="K10" s="13"/>
      <x:c r="L10" s="13"/>
      <x:c r="M10" s="13"/>
      <x:c r="N10" s="13"/>
      <x:c r="O10" s="13"/>
    </x:row>
    <x:row r="11">
      <x:c r="A11" s="10" t="n">
        <x:v>7</x:v>
      </x:c>
      <x:c r="B11" s="23" t="n">
        <x:f>CORREL('Исходные данные'!$B$5:$B$297,'Исходные данные'!$B$12:$B$304)</x:f>
        <x:v>-0.02935704170633455</x:v>
      </x:c>
      <x:c r="C11" s="23" t="n">
        <x:f>CORREL('Генератор'!$E$12:$E$304,'Генератор'!$E$19:$E$311)</x:f>
        <x:v>0.026406397993786298</x:v>
      </x:c>
      <x:c r="D11" s="18" t="n">
        <x:f>IF(ABS(B11)&lt;0.000001,"н/д",ABS(C11-B11)/ABS(B11))</x:f>
        <x:v>1.8994911087409883</x:v>
      </x:c>
      <x:c r="E11" s="23" t="n">
        <x:v>0.11316065276116663</x:v>
      </x:c>
      <x:c r="F11" s="13"/>
      <x:c r="G11" s="13"/>
      <x:c r="H11" s="13"/>
      <x:c r="I11" s="13"/>
      <x:c r="J11" s="13"/>
      <x:c r="K11" s="13"/>
      <x:c r="L11" s="13"/>
      <x:c r="M11" s="13"/>
      <x:c r="N11" s="13"/>
      <x:c r="O11" s="13"/>
    </x:row>
    <x:row r="12">
      <x:c r="A12" s="10" t="n">
        <x:v>8</x:v>
      </x:c>
      <x:c r="B12" s="23" t="n">
        <x:f>CORREL('Исходные данные'!$B$5:$B$296,'Исходные данные'!$B$13:$B$304)</x:f>
        <x:v>-0.057194004572475636</x:v>
      </x:c>
      <x:c r="C12" s="23" t="n">
        <x:f>CORREL('Генератор'!$E$12:$E$303,'Генератор'!$E$20:$E$311)</x:f>
        <x:v>0.014529120390008164</x:v>
      </x:c>
      <x:c r="D12" s="18" t="n">
        <x:f>IF(ABS(B12)&lt;0.000001,"н/д",ABS(C12-B12)/ABS(B12))</x:f>
        <x:v>1.2540322276541593</x:v>
      </x:c>
      <x:c r="E12" s="23" t="n">
        <x:v>0.11316065276116663</x:v>
      </x:c>
      <x:c r="F12" s="13"/>
      <x:c r="G12" s="13"/>
      <x:c r="H12" s="13"/>
      <x:c r="I12" s="13"/>
      <x:c r="J12" s="13"/>
      <x:c r="K12" s="13"/>
      <x:c r="L12" s="13"/>
      <x:c r="M12" s="13"/>
      <x:c r="N12" s="13"/>
      <x:c r="O12" s="13"/>
    </x:row>
    <x:row r="13">
      <x:c r="A13" s="10" t="n">
        <x:v>9</x:v>
      </x:c>
      <x:c r="B13" s="23" t="n">
        <x:f>CORREL('Исходные данные'!$B$5:$B$295,'Исходные данные'!$B$14:$B$304)</x:f>
        <x:v>-0.027036886693167932</x:v>
      </x:c>
      <x:c r="C13" s="23" t="n">
        <x:f>CORREL('Генератор'!$E$12:$E$302,'Генератор'!$E$21:$E$311)</x:f>
        <x:v>-0.01647827638455016</x:v>
      </x:c>
      <x:c r="D13" s="18" t="n">
        <x:f>IF(ABS(B13)&lt;0.000001,"н/д",ABS(C13-B13)/ABS(B13))</x:f>
        <x:v>0.3905261145058493</x:v>
      </x:c>
      <x:c r="E13" s="23" t="n">
        <x:v>0.11316065276116663</x:v>
      </x:c>
      <x:c r="F13" s="13"/>
      <x:c r="G13" s="13"/>
      <x:c r="H13" s="13"/>
      <x:c r="I13" s="13"/>
      <x:c r="J13" s="13"/>
      <x:c r="K13" s="13"/>
      <x:c r="L13" s="13"/>
      <x:c r="M13" s="13"/>
      <x:c r="N13" s="13"/>
      <x:c r="O13" s="13"/>
    </x:row>
    <x:row r="14">
      <x:c r="A14" s="10" t="n">
        <x:v>10</x:v>
      </x:c>
      <x:c r="B14" s="23" t="n">
        <x:f>CORREL('Исходные данные'!$B$5:$B$294,'Исходные данные'!$B$15:$B$304)</x:f>
        <x:v>0.08223189168629733</x:v>
      </x:c>
      <x:c r="C14" s="23" t="n">
        <x:f>CORREL('Генератор'!$E$12:$E$301,'Генератор'!$E$22:$E$311)</x:f>
        <x:v>-0.00965692969542248</x:v>
      </x:c>
      <x:c r="D14" s="18" t="n">
        <x:f>IF(ABS(B14)&lt;0.000001,"н/д",ABS(C14-B14)/ABS(B14))</x:f>
        <x:v>1.1174353343622723</x:v>
      </x:c>
      <x:c r="E14" s="23" t="n">
        <x:v>0.11316065276116663</x:v>
      </x:c>
      <x:c r="F14" s="13"/>
      <x:c r="G14" s="13"/>
      <x:c r="H14" s="13"/>
      <x:c r="I14" s="13"/>
      <x:c r="J14" s="13"/>
      <x:c r="K14" s="13"/>
      <x:c r="L14" s="13"/>
      <x:c r="M14" s="13"/>
      <x:c r="N14" s="13"/>
      <x:c r="O14" s="13"/>
    </x:row>
    <x:row r="15">
      <x:c r="A15" s="13"/>
      <x:c r="B15" s="13"/>
      <x:c r="C15" s="13"/>
      <x:c r="D15" s="13"/>
      <x:c r="E15" s="13"/>
      <x:c r="F15" s="13"/>
      <x:c r="G15" s="13"/>
      <x:c r="H15" s="13"/>
      <x:c r="I15" s="13"/>
      <x:c r="J15" s="13"/>
      <x:c r="K15" s="13"/>
      <x:c r="L15" s="13"/>
      <x:c r="M15" s="13"/>
      <x:c r="N15" s="13"/>
      <x:c r="O15" s="13"/>
    </x:row>
    <x:row r="16">
      <x:c r="A16" s="7" t="str">
        <x:v>Проверка</x:v>
      </x:c>
      <x:c r="B16" s="7" t="str">
        <x:v>Значение</x:v>
      </x:c>
      <x:c r="C16" s="13"/>
      <x:c r="D16" s="13"/>
      <x:c r="E16" s="13"/>
      <x:c r="F16" s="13"/>
      <x:c r="G16" s="13"/>
      <x:c r="H16" s="13"/>
      <x:c r="I16" s="13"/>
      <x:c r="J16" s="13"/>
      <x:c r="K16" s="13"/>
      <x:c r="L16" s="13"/>
      <x:c r="M16" s="13"/>
      <x:c r="N16" s="13"/>
      <x:c r="O16" s="13"/>
    </x:row>
    <x:row r="17">
      <x:c r="A17" s="10" t="str">
        <x:v>Коэффициент корреляции рядов</x:v>
      </x:c>
      <x:c r="B17" s="23" t="n">
        <x:v>-0.03611636453935302</x:v>
      </x:c>
      <x:c r="C17" s="13"/>
      <x:c r="D17" s="13"/>
      <x:c r="E17" s="13"/>
      <x:c r="F17" s="13"/>
      <x:c r="G17" s="13"/>
      <x:c r="H17" s="13"/>
      <x:c r="I17" s="13"/>
      <x:c r="J17" s="13"/>
      <x:c r="K17" s="13"/>
      <x:c r="L17" s="13"/>
      <x:c r="M17" s="13"/>
      <x:c r="N17" s="13"/>
      <x:c r="O17" s="13"/>
    </x:row>
    <x:row r="18">
      <x:c r="A18" s="10" t="str">
        <x:v>Критерий Льюнга–Бокса Q(10)</x:v>
      </x:c>
      <x:c r="B18" s="23" t="n">
        <x:v>11.682742281863302</x:v>
      </x:c>
      <x:c r="C18" s="13"/>
      <x:c r="D18" s="13"/>
      <x:c r="E18" s="13"/>
      <x:c r="F18" s="13"/>
      <x:c r="G18" s="13"/>
      <x:c r="H18" s="13"/>
      <x:c r="I18" s="13"/>
      <x:c r="J18" s="13"/>
      <x:c r="K18" s="13"/>
      <x:c r="L18" s="13"/>
      <x:c r="M18" s="13"/>
      <x:c r="N18" s="13"/>
      <x:c r="O18" s="13"/>
    </x:row>
    <x:row r="19">
      <x:c r="A19" s="10" t="str">
        <x:v>p-value</x:v>
      </x:c>
      <x:c r="B19" s="23" t="n">
        <x:v>0.3068503436532233</x:v>
      </x:c>
      <x:c r="C19" s="13"/>
      <x:c r="D19" s="13"/>
      <x:c r="E19" s="13"/>
      <x:c r="F19" s="13"/>
      <x:c r="G19" s="13"/>
      <x:c r="H19" s="13"/>
      <x:c r="I19" s="13"/>
      <x:c r="J19" s="13"/>
      <x:c r="K19" s="13"/>
      <x:c r="L19" s="13"/>
      <x:c r="M19" s="13"/>
      <x:c r="N19" s="13"/>
      <x:c r="O19" s="13"/>
    </x:row>
    <x:row r="20">
      <x:c r="A20" s="10" t="str">
        <x:v>Вывод</x:v>
      </x:c>
      <x:c r="B20" s="17" t="str">
        <x:v>При p &gt; 0,05 оснований отвергать случайность ряда нет</x:v>
      </x:c>
      <x:c r="C20" s="13"/>
      <x:c r="D20" s="13"/>
      <x:c r="E20" s="13"/>
      <x:c r="F20" s="13"/>
      <x:c r="G20" s="13"/>
      <x:c r="H20" s="13"/>
      <x:c r="I20" s="13"/>
      <x:c r="J20" s="13"/>
      <x:c r="K20" s="13"/>
      <x:c r="L20" s="13"/>
      <x:c r="M20" s="13"/>
      <x:c r="N20" s="13"/>
      <x:c r="O20" s="13"/>
    </x:row>
    <x:row r="21">
      <x:c r="A21" s="13"/>
      <x:c r="B21" s="13"/>
      <x:c r="C21" s="13"/>
      <x:c r="D21" s="13"/>
      <x:c r="E21" s="13"/>
      <x:c r="F21" s="13"/>
      <x:c r="G21" s="13"/>
      <x:c r="H21" s="13"/>
      <x:c r="I21" s="13"/>
      <x:c r="J21" s="13"/>
      <x:c r="K21" s="13"/>
      <x:c r="L21" s="13"/>
      <x:c r="M21" s="13"/>
      <x:c r="N21" s="13"/>
      <x:c r="O21" s="13"/>
    </x:row>
  </x:sheetData>
  <x:pageMargins left="0.7" right="0.7" top="0.75" bottom="0.75" header="0.3" footer="0.3"/>
  <x:drawing xmlns:r="http://schemas.openxmlformats.org/officeDocument/2006/relationships" r:id="Rbaf152b156564644"/>
</x:worksheet>
</file>

<file path=xl/worksheets/sheet5.xml><?xml version="1.0" encoding="utf-8"?>
<x:worksheet xmlns:x="http://schemas.openxmlformats.org/spreadsheetml/2006/main">
  <x:sheetViews>
    <x:sheetView showGridLines="1" workbookViewId="0">
      <x:pane ySplit="11" topLeftCell="A12" activePane="bottomLeft" state="frozen"/>
    </x:sheetView>
  </x:sheetViews>
  <x:sheetFormatPr defaultRowHeight="15"/>
  <x:cols>
    <x:col min="7" max="7" width="23" hidden="0" customWidth="1"/>
    <x:col min="8" max="8" width="34" hidden="0" customWidth="1"/>
    <x:col min="1" max="1" width="8" hidden="0" customWidth="1"/>
    <x:col min="2" max="2" width="14" hidden="0" customWidth="1"/>
    <x:col min="3" max="3" width="14" hidden="0" customWidth="1"/>
    <x:col min="4" max="4" width="10" hidden="0" customWidth="1"/>
    <x:col min="5" max="5" width="23" hidden="0" customWidth="1"/>
  </x:cols>
  <x:sheetData>
    <x:row r="1">
      <x:c r="A1" s="13"/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</x:row>
    <x:row r="2">
      <x:c r="A2" s="14" t="str">
        <x:v>Генератор гиперэкспоненциального распределения H2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</x:row>
    <x:row r="3">
      <x:c r="A3" s="13"/>
      <x:c r="B3" s="13"/>
      <x:c r="C3" s="13"/>
      <x:c r="D3" s="13"/>
      <x:c r="E3" s="13"/>
      <x:c r="F3" s="13"/>
      <x:c r="G3" s="13"/>
      <x:c r="H3" s="13"/>
      <x:c r="I3" s="13"/>
      <x:c r="J3" s="13"/>
      <x:c r="K3" s="13"/>
      <x:c r="L3" s="13"/>
      <x:c r="M3" s="13"/>
      <x:c r="N3" s="13"/>
      <x:c r="O3" s="13"/>
    </x:row>
    <x:row r="4">
      <x:c r="A4" s="7" t="str">
        <x:v>Параметр</x:v>
      </x:c>
      <x:c r="B4" s="7" t="str">
        <x:v>Значение</x:v>
      </x:c>
      <x:c r="C4" s="13"/>
      <x:c r="D4" s="13"/>
      <x:c r="E4" s="13"/>
      <x:c r="F4" s="13"/>
      <x:c r="G4" s="7" t="str">
        <x:v>Параметры LCG</x:v>
      </x:c>
      <x:c r="H4" s="7" t="str">
        <x:v>Значение</x:v>
      </x:c>
      <x:c r="I4" s="13"/>
      <x:c r="J4" s="13"/>
      <x:c r="K4" s="13"/>
      <x:c r="L4" s="13"/>
      <x:c r="M4" s="13"/>
      <x:c r="N4" s="13"/>
      <x:c r="O4" s="13"/>
    </x:row>
    <x:row r="5">
      <x:c r="A5" s="10" t="str">
        <x:v>Математическое ожидание</x:v>
      </x:c>
      <x:c r="B5" s="16" t="n">
        <x:v>8.020778465134065</x:v>
      </x:c>
      <x:c r="C5" s="13"/>
      <x:c r="D5" s="13"/>
      <x:c r="E5" s="13"/>
      <x:c r="F5" s="13"/>
      <x:c r="G5" s="10" t="str">
        <x:v>Множитель a</x:v>
      </x:c>
      <x:c r="H5" s="10" t="n">
        <x:v>1664525</x:v>
      </x:c>
      <x:c r="I5" s="13"/>
      <x:c r="J5" s="13"/>
      <x:c r="K5" s="13"/>
      <x:c r="L5" s="13"/>
      <x:c r="M5" s="13"/>
      <x:c r="N5" s="13"/>
      <x:c r="O5" s="13"/>
    </x:row>
    <x:row r="6">
      <x:c r="A6" s="10" t="str">
        <x:v>Коэффициент вариации</x:v>
      </x:c>
      <x:c r="B6" s="16" t="n">
        <x:v>2.8167738155279216</x:v>
      </x:c>
      <x:c r="C6" s="13"/>
      <x:c r="D6" s="13"/>
      <x:c r="E6" s="13"/>
      <x:c r="F6" s="13"/>
      <x:c r="G6" s="10" t="str">
        <x:v>Приращение c</x:v>
      </x:c>
      <x:c r="H6" s="10" t="n">
        <x:v>1013904223</x:v>
      </x:c>
      <x:c r="I6" s="13"/>
      <x:c r="J6" s="13"/>
      <x:c r="K6" s="13"/>
      <x:c r="L6" s="13"/>
      <x:c r="M6" s="13"/>
      <x:c r="N6" s="13"/>
      <x:c r="O6" s="13"/>
    </x:row>
    <x:row r="7">
      <x:c r="A7" s="10" t="str">
        <x:v>Вероятность ветви p</x:v>
      </x:c>
      <x:c r="B7" s="16" t="n">
        <x:v>0.9404944635474064</x:v>
      </x:c>
      <x:c r="C7" s="13"/>
      <x:c r="D7" s="13"/>
      <x:c r="E7" s="13"/>
      <x:c r="F7" s="13"/>
      <x:c r="G7" s="10" t="str">
        <x:v>Модуль m</x:v>
      </x:c>
      <x:c r="H7" s="10" t="n">
        <x:v>4294967296</x:v>
      </x:c>
      <x:c r="I7" s="13"/>
      <x:c r="J7" s="13"/>
      <x:c r="K7" s="13"/>
      <x:c r="L7" s="13"/>
      <x:c r="M7" s="13"/>
      <x:c r="N7" s="13"/>
      <x:c r="O7" s="13"/>
    </x:row>
    <x:row r="8">
      <x:c r="A8" s="10" t="str">
        <x:v>Интенсивность быстрой ветви μ1</x:v>
      </x:c>
      <x:c r="B8" s="16" t="n">
        <x:v>0.23451450944211719</x:v>
      </x:c>
      <x:c r="C8" s="13"/>
      <x:c r="D8" s="13"/>
      <x:c r="E8" s="13"/>
      <x:c r="F8" s="13"/>
      <x:c r="G8" s="10" t="str">
        <x:v>Рекуррентная формула</x:v>
      </x:c>
      <x:c r="H8" s="17" t="str">
        <x:v>S(k+1) = (a·S(k)+c) mod m</x:v>
      </x:c>
      <x:c r="I8" s="13"/>
      <x:c r="J8" s="13"/>
      <x:c r="K8" s="13"/>
      <x:c r="L8" s="13"/>
      <x:c r="M8" s="13"/>
      <x:c r="N8" s="13"/>
      <x:c r="O8" s="13"/>
    </x:row>
    <x:row r="9">
      <x:c r="A9" s="10" t="str">
        <x:v>Интенсивность медленной ветви μ2</x:v>
      </x:c>
      <x:c r="B9" s="16" t="n">
        <x:v>0.014837845655820388</x:v>
      </x:c>
      <x:c r="C9" s="13"/>
      <x:c r="D9" s="13"/>
      <x:c r="E9" s="13"/>
      <x:c r="F9" s="13"/>
      <x:c r="G9" s="10" t="str">
        <x:v>Переход к U(0;1)</x:v>
      </x:c>
      <x:c r="H9" s="17" t="str">
        <x:v>U = (S+0,5)/m</x:v>
      </x:c>
      <x:c r="I9" s="13"/>
      <x:c r="J9" s="13"/>
      <x:c r="K9" s="13"/>
      <x:c r="L9" s="13"/>
      <x:c r="M9" s="13"/>
      <x:c r="N9" s="13"/>
      <x:c r="O9" s="13"/>
    </x:row>
    <x:row r="10">
      <x:c r="A10" s="10" t="str">
        <x:v>Фиксированное начальное состояние LCG</x:v>
      </x:c>
      <x:c r="B10" s="10" t="n">
        <x:v>8141</x:v>
      </x:c>
      <x:c r="C10" s="13"/>
      <x:c r="D10" s="13"/>
      <x:c r="E10" s="13"/>
      <x:c r="F10" s="13"/>
      <x:c r="G10" s="13"/>
      <x:c r="H10" s="13"/>
      <x:c r="I10" s="13"/>
      <x:c r="J10" s="13"/>
      <x:c r="K10" s="13"/>
      <x:c r="L10" s="13"/>
      <x:c r="M10" s="13"/>
      <x:c r="N10" s="13"/>
      <x:c r="O10" s="13"/>
    </x:row>
    <x:row r="11">
      <x:c r="A11" s="7" t="str">
        <x:v>№</x:v>
      </x:c>
      <x:c r="B11" s="7" t="str">
        <x:v>U1</x:v>
      </x:c>
      <x:c r="C11" s="7" t="str">
        <x:v>U2</x:v>
      </x:c>
      <x:c r="D11" s="7" t="str">
        <x:v>Ветвь</x:v>
      </x:c>
      <x:c r="E11" s="7" t="str">
        <x:v>Сгенерированное X</x:v>
      </x:c>
      <x:c r="F11" s="13"/>
      <x:c r="G11" s="13"/>
      <x:c r="H11" s="13"/>
      <x:c r="I11" s="13"/>
      <x:c r="J11" s="13"/>
      <x:c r="K11" s="13"/>
      <x:c r="L11" s="13"/>
      <x:c r="M11" s="13"/>
      <x:c r="N11" s="13"/>
      <x:c r="O11" s="13"/>
    </x:row>
    <x:row r="12">
      <x:c r="A12" s="10" t="n">
        <x:v>1</x:v>
      </x:c>
      <x:c r="B12" s="16" t="n">
        <x:v>0.3911322822095826</x:v>
      </x:c>
      <x:c r="C12" s="16" t="n">
        <x:v>0.6979191022692248</x:v>
      </x:c>
      <x:c r="D12" s="10" t="n">
        <x:v>1</x:v>
      </x:c>
      <x:c r="E12" s="11" t="n">
        <x:f>IF(B12&lt;=$B$7,-LN(C12)/$B$8,-LN(C12)/$B$9)</x:f>
        <x:v>1.533602688890932</x:v>
      </x:c>
      <x:c r="F12" s="13"/>
      <x:c r="G12" s="13"/>
      <x:c r="H12" s="13"/>
      <x:c r="I12" s="13"/>
      <x:c r="J12" s="13"/>
      <x:c r="K12" s="13"/>
      <x:c r="L12" s="13"/>
      <x:c r="M12" s="13"/>
      <x:c r="N12" s="13"/>
      <x:c r="O12" s="13"/>
    </x:row>
    <x:row r="13">
      <x:c r="A13" s="10" t="n">
        <x:v>2</x:v>
      </x:c>
      <x:c r="B13" s="16" t="n">
        <x:v>0.029578878195025027</x:v>
      </x:c>
      <x:c r="C13" s="16" t="n">
        <x:v>0.018101770780049264</x:v>
      </x:c>
      <x:c r="D13" s="10" t="n">
        <x:v>1</x:v>
      </x:c>
      <x:c r="E13" s="11" t="n">
        <x:f>IF(B13&lt;=$B$7,-LN(C13)/$B$8,-LN(C13)/$B$9)</x:f>
        <x:v>17.106598316186457</x:v>
      </x:c>
      <x:c r="F13" s="13"/>
      <x:c r="G13" s="13"/>
      <x:c r="H13" s="13"/>
      <x:c r="I13" s="13"/>
      <x:c r="J13" s="13"/>
      <x:c r="K13" s="13"/>
      <x:c r="L13" s="13"/>
      <x:c r="M13" s="13"/>
      <x:c r="N13" s="13"/>
      <x:c r="O13" s="13"/>
    </x:row>
    <x:row r="14">
      <x:c r="A14" s="10" t="n">
        <x:v>3</x:v>
      </x:c>
      <x:c r="B14" s="16" t="n">
        <x:v>0.08588185824919492</x:v>
      </x:c>
      <x:c r="C14" s="16" t="n">
        <x:v>0.7359764379216358</x:v>
      </x:c>
      <x:c r="D14" s="10" t="n">
        <x:v>1</x:v>
      </x:c>
      <x:c r="E14" s="11" t="n">
        <x:f>IF(B14&lt;=$B$7,-LN(C14)/$B$8,-LN(C14)/$B$9)</x:f>
        <x:v>1.3071991800780414</x:v>
      </x:c>
      <x:c r="F14" s="13"/>
      <x:c r="G14" s="13"/>
      <x:c r="H14" s="13"/>
      <x:c r="I14" s="13"/>
      <x:c r="J14" s="13"/>
      <x:c r="K14" s="13"/>
      <x:c r="L14" s="13"/>
      <x:c r="M14" s="13"/>
      <x:c r="N14" s="13"/>
      <x:c r="O14" s="13"/>
    </x:row>
    <x:row r="15">
      <x:c r="A15" s="10" t="n">
        <x:v>4</x:v>
      </x:c>
      <x:c r="B15" s="16" t="n">
        <x:v>0.41620570758823305</x:v>
      </x:c>
      <x:c r="C15" s="16" t="n">
        <x:v>0.04129750037100166</x:v>
      </x:c>
      <x:c r="D15" s="10" t="n">
        <x:v>1</x:v>
      </x:c>
      <x:c r="E15" s="11" t="n">
        <x:f>IF(B15&lt;=$B$7,-LN(C15)/$B$8,-LN(C15)/$B$9)</x:f>
        <x:v>13.58957836823289</x:v>
      </x:c>
      <x:c r="F15" s="13"/>
      <x:c r="G15" s="13"/>
      <x:c r="H15" s="13"/>
      <x:c r="I15" s="13"/>
      <x:c r="J15" s="13"/>
      <x:c r="K15" s="13"/>
      <x:c r="L15" s="13"/>
      <x:c r="M15" s="13"/>
      <x:c r="N15" s="13"/>
      <x:c r="O15" s="13"/>
    </x:row>
    <x:row r="16">
      <x:c r="A16" s="10" t="n">
        <x:v>5</x:v>
      </x:c>
      <x:c r="B16" s="16" t="n">
        <x:v>0.9576792382868007</x:v>
      </x:c>
      <x:c r="C16" s="16" t="n">
        <x:v>0.26998353365343064</x:v>
      </x:c>
      <x:c r="D16" s="10" t="n">
        <x:v>2</x:v>
      </x:c>
      <x:c r="E16" s="11" t="n">
        <x:f>IF(B16&lt;=$B$7,-LN(C16)/$B$8,-LN(C16)/$B$9)</x:f>
        <x:v>88.24692874458205</x:v>
      </x:c>
      <x:c r="F16" s="13"/>
      <x:c r="G16" s="13"/>
      <x:c r="H16" s="13"/>
      <x:c r="I16" s="13"/>
      <x:c r="J16" s="13"/>
      <x:c r="K16" s="13"/>
      <x:c r="L16" s="13"/>
      <x:c r="M16" s="13"/>
      <x:c r="N16" s="13"/>
      <x:c r="O16" s="13"/>
    </x:row>
    <x:row r="17">
      <x:c r="A17" s="10" t="n">
        <x:v>6</x:v>
      </x:c>
      <x:c r="B17" s="16" t="n">
        <x:v>0.5772286733845249</x:v>
      </x:c>
      <x:c r="C17" s="16" t="n">
        <x:v>0.7934395730262622</x:v>
      </x:c>
      <x:c r="D17" s="10" t="n">
        <x:v>1</x:v>
      </x:c>
      <x:c r="E17" s="11" t="n">
        <x:f>IF(B17&lt;=$B$7,-LN(C17)/$B$8,-LN(C17)/$B$9)</x:f>
        <x:v>0.9866250703281266</x:v>
      </x:c>
      <x:c r="F17" s="13"/>
      <x:c r="G17" s="13"/>
      <x:c r="H17" s="13"/>
      <x:c r="I17" s="13"/>
      <x:c r="J17" s="13"/>
      <x:c r="K17" s="13"/>
      <x:c r="L17" s="13"/>
      <x:c r="M17" s="13"/>
      <x:c r="N17" s="13"/>
      <x:c r="O17" s="13"/>
    </x:row>
    <x:row r="18">
      <x:c r="A18" s="10" t="n">
        <x:v>7</x:v>
      </x:c>
      <x:c r="B18" s="16" t="n">
        <x:v>0.24116573587525636</x:v>
      </x:c>
      <x:c r="C18" s="16" t="n">
        <x:v>0.6323819578392431</x:v>
      </x:c>
      <x:c r="D18" s="10" t="n">
        <x:v>1</x:v>
      </x:c>
      <x:c r="E18" s="11" t="n">
        <x:f>IF(B18&lt;=$B$7,-LN(C18)/$B$8,-LN(C18)/$B$9)</x:f>
        <x:v>1.9540867846936898</x:v>
      </x:c>
      <x:c r="F18" s="13"/>
      <x:c r="G18" s="13"/>
      <x:c r="H18" s="13"/>
      <x:c r="I18" s="13"/>
      <x:c r="J18" s="13"/>
      <x:c r="K18" s="13"/>
      <x:c r="L18" s="13"/>
      <x:c r="M18" s="13"/>
      <x:c r="N18" s="13"/>
      <x:c r="O18" s="13"/>
    </x:row>
    <x:row r="19">
      <x:c r="A19" s="10" t="n">
        <x:v>8</x:v>
      </x:c>
      <x:c r="B19" s="16" t="n">
        <x:v>0.8142465628916398</x:v>
      </x:c>
      <x:c r="C19" s="16" t="n">
        <x:v>0.9959714034339413</x:v>
      </x:c>
      <x:c r="D19" s="10" t="n">
        <x:v>1</x:v>
      </x:c>
      <x:c r="E19" s="11" t="n">
        <x:f>IF(B19&lt;=$B$7,-LN(C19)/$B$8,-LN(C19)/$B$9)</x:f>
        <x:v>0.017213149118268743</x:v>
      </x:c>
      <x:c r="F19" s="13"/>
      <x:c r="G19" s="13"/>
      <x:c r="H19" s="13"/>
      <x:c r="I19" s="13"/>
      <x:c r="J19" s="13"/>
      <x:c r="K19" s="13"/>
      <x:c r="L19" s="13"/>
      <x:c r="M19" s="13"/>
      <x:c r="N19" s="13"/>
      <x:c r="O19" s="13"/>
    </x:row>
    <x:row r="20">
      <x:c r="A20" s="10" t="n">
        <x:v>9</x:v>
      </x:c>
      <x:c r="B20" s="16" t="n">
        <x:v>0.5361750778974965</x:v>
      </x:c>
      <x:c r="C20" s="16" t="n">
        <x:v>0.05741152714472264</x:v>
      </x:c>
      <x:c r="D20" s="10" t="n">
        <x:v>1</x:v>
      </x:c>
      <x:c r="E20" s="11" t="n">
        <x:f>IF(B20&lt;=$B$7,-LN(C20)/$B$8,-LN(C20)/$B$9)</x:f>
        <x:v>12.184790532916601</x:v>
      </x:c>
      <x:c r="F20" s="13"/>
      <x:c r="G20" s="13"/>
      <x:c r="H20" s="13"/>
      <x:c r="I20" s="13"/>
      <x:c r="J20" s="13"/>
      <x:c r="K20" s="13"/>
      <x:c r="L20" s="13"/>
      <x:c r="M20" s="13"/>
      <x:c r="N20" s="13"/>
      <x:c r="O20" s="13"/>
    </x:row>
    <x:row r="21">
      <x:c r="A21" s="10" t="n">
        <x:v>10</x:v>
      </x:c>
      <x:c r="B21" s="16" t="n">
        <x:v>0.1580947662005201</x:v>
      </x:c>
      <x:c r="C21" s="16" t="n">
        <x:v>0.9265841174637899</x:v>
      </x:c>
      <x:c r="D21" s="10" t="n">
        <x:v>1</x:v>
      </x:c>
      <x:c r="E21" s="11" t="n">
        <x:f>IF(B21&lt;=$B$7,-LN(C21)/$B$8,-LN(C21)/$B$9)</x:f>
        <x:v>0.3251417022707412</x:v>
      </x:c>
      <x:c r="F21" s="13"/>
      <x:c r="G21" s="13"/>
      <x:c r="H21" s="13"/>
      <x:c r="I21" s="13"/>
      <x:c r="J21" s="13"/>
      <x:c r="K21" s="13"/>
      <x:c r="L21" s="13"/>
      <x:c r="M21" s="13"/>
      <x:c r="N21" s="13"/>
      <x:c r="O21" s="13"/>
    </x:row>
    <x:row r="22">
      <x:c r="A22" s="10" t="n">
        <x:v>11</x:v>
      </x:c>
      <x:c r="B22" s="16" t="n">
        <x:v>0.6639956115977839</x:v>
      </x:c>
      <x:c r="C22" s="16" t="n">
        <x:v>0.5312689979327843</x:v>
      </x:c>
      <x:c r="D22" s="10" t="n">
        <x:v>1</x:v>
      </x:c>
      <x:c r="E22" s="11" t="n">
        <x:f>IF(B22&lt;=$B$7,-LN(C22)/$B$8,-LN(C22)/$B$9)</x:f>
        <x:v>2.697004974544531</x:v>
      </x:c>
      <x:c r="F22" s="13"/>
      <x:c r="G22" s="13"/>
      <x:c r="H22" s="13"/>
      <x:c r="I22" s="13"/>
      <x:c r="J22" s="13"/>
      <x:c r="K22" s="13"/>
      <x:c r="L22" s="13"/>
      <x:c r="M22" s="13"/>
      <x:c r="N22" s="13"/>
      <x:c r="O22" s="13"/>
    </x:row>
    <x:row r="23">
      <x:c r="A23" s="10" t="n">
        <x:v>12</x:v>
      </x:c>
      <x:c r="B23" s="16" t="n">
        <x:v>0.7646582644665614</x:v>
      </x:c>
      <x:c r="C23" s="16" t="n">
        <x:v>0.03353539982344955</x:v>
      </x:c>
      <x:c r="D23" s="10" t="n">
        <x:v>1</x:v>
      </x:c>
      <x:c r="E23" s="11" t="n">
        <x:f>IF(B23&lt;=$B$7,-LN(C23)/$B$8,-LN(C23)/$B$9)</x:f>
        <x:v>14.47737154944596</x:v>
      </x:c>
      <x:c r="F23" s="13"/>
      <x:c r="G23" s="13"/>
      <x:c r="H23" s="13"/>
      <x:c r="I23" s="13"/>
      <x:c r="J23" s="13"/>
      <x:c r="K23" s="13"/>
      <x:c r="L23" s="13"/>
      <x:c r="M23" s="13"/>
      <x:c r="N23" s="13"/>
      <x:c r="O23" s="13"/>
    </x:row>
    <x:row r="24">
      <x:c r="A24" s="10" t="n">
        <x:v>13</x:v>
      </x:c>
      <x:c r="B24" s="16" t="n">
        <x:v>0.7472653241129592</x:v>
      </x:c>
      <x:c r="C24" s="16" t="n">
        <x:v>0.049493320169858634</x:v>
      </x:c>
      <x:c r="D24" s="10" t="n">
        <x:v>1</x:v>
      </x:c>
      <x:c r="E24" s="11" t="n">
        <x:f>IF(B24&lt;=$B$7,-LN(C24)/$B$8,-LN(C24)/$B$9)</x:f>
        <x:v>12.817618712495543</x:v>
      </x:c>
      <x:c r="F24" s="13"/>
      <x:c r="G24" s="13"/>
      <x:c r="H24" s="13"/>
      <x:c r="I24" s="13"/>
      <x:c r="J24" s="13"/>
      <x:c r="K24" s="13"/>
      <x:c r="L24" s="13"/>
      <x:c r="M24" s="13"/>
      <x:c r="N24" s="13"/>
      <x:c r="O24" s="13"/>
    </x:row>
    <x:row r="25">
      <x:c r="A25" s="10" t="n">
        <x:v>14</x:v>
      </x:c>
      <x:c r="B25" s="16" t="n">
        <x:v>0.10462993069086224</x:v>
      </x:c>
      <x:c r="C25" s="16" t="n">
        <x:v>0.37125740421470255</x:v>
      </x:c>
      <x:c r="D25" s="10" t="n">
        <x:v>1</x:v>
      </x:c>
      <x:c r="E25" s="11" t="n">
        <x:f>IF(B25&lt;=$B$7,-LN(C25)/$B$8,-LN(C25)/$B$9)</x:f>
        <x:v>4.2251528377010885</x:v>
      </x:c>
      <x:c r="F25" s="13"/>
      <x:c r="G25" s="13"/>
      <x:c r="H25" s="13"/>
      <x:c r="I25" s="13"/>
      <x:c r="J25" s="13"/>
      <x:c r="K25" s="13"/>
      <x:c r="L25" s="13"/>
      <x:c r="M25" s="13"/>
      <x:c r="N25" s="13"/>
      <x:c r="O25" s="13"/>
    </x:row>
    <x:row r="26">
      <x:c r="A26" s="10" t="n">
        <x:v>15</x:v>
      </x:c>
      <x:c r="B26" s="16" t="n">
        <x:v>0.4666246745036915</x:v>
      </x:c>
      <x:c r="C26" s="16" t="n">
        <x:v>0.672202453832142</x:v>
      </x:c>
      <x:c r="D26" s="10" t="n">
        <x:v>1</x:v>
      </x:c>
      <x:c r="E26" s="11" t="n">
        <x:f>IF(B26&lt;=$B$7,-LN(C26)/$B$8,-LN(C26)/$B$9)</x:f>
        <x:v>1.6936935552226375</x:v>
      </x:c>
      <x:c r="F26" s="13"/>
      <x:c r="G26" s="13"/>
      <x:c r="H26" s="13"/>
      <x:c r="I26" s="13"/>
      <x:c r="J26" s="13"/>
      <x:c r="K26" s="13"/>
      <x:c r="L26" s="13"/>
      <x:c r="M26" s="13"/>
      <x:c r="N26" s="13"/>
      <x:c r="O26" s="13"/>
    </x:row>
    <x:row r="27">
      <x:c r="A27" s="10" t="n">
        <x:v>16</x:v>
      </x:c>
      <x:c r="B27" s="16" t="n">
        <x:v>0.02533914300147444</x:v>
      </x:c>
      <x:c r="C27" s="16" t="n">
        <x:v>0.8728787259897217</x:v>
      </x:c>
      <x:c r="D27" s="10" t="n">
        <x:v>1</x:v>
      </x:c>
      <x:c r="E27" s="11" t="n">
        <x:f>IF(B27&lt;=$B$7,-LN(C27)/$B$8,-LN(C27)/$B$9)</x:f>
        <x:v>0.5797451488516071</x:v>
      </x:c>
      <x:c r="F27" s="13"/>
      <x:c r="G27" s="13"/>
      <x:c r="H27" s="13"/>
      <x:c r="I27" s="13"/>
      <x:c r="J27" s="13"/>
      <x:c r="K27" s="13"/>
      <x:c r="L27" s="13"/>
      <x:c r="M27" s="13"/>
      <x:c r="N27" s="13"/>
      <x:c r="O27" s="13"/>
    </x:row>
    <x:row r="28">
      <x:c r="A28" s="10" t="n">
        <x:v>17</x:v>
      </x:c>
      <x:c r="B28" s="16" t="n">
        <x:v>0.6972522382857278</x:v>
      </x:c>
      <x:c r="C28" s="16" t="n">
        <x:v>0.017806747811846435</x:v>
      </x:c>
      <x:c r="D28" s="10" t="n">
        <x:v>1</x:v>
      </x:c>
      <x:c r="E28" s="11" t="n">
        <x:f>IF(B28&lt;=$B$7,-LN(C28)/$B$8,-LN(C28)/$B$9)</x:f>
        <x:v>17.176667714719077</x:v>
      </x:c>
      <x:c r="F28" s="13"/>
      <x:c r="G28" s="13"/>
      <x:c r="H28" s="13"/>
      <x:c r="I28" s="13"/>
      <x:c r="J28" s="13"/>
      <x:c r="K28" s="13"/>
      <x:c r="L28" s="13"/>
      <x:c r="M28" s="13"/>
      <x:c r="N28" s="13"/>
      <x:c r="O28" s="13"/>
    </x:row>
    <x:row r="29">
      <x:c r="A29" s="10" t="n">
        <x:v>18</x:v>
      </x:c>
      <x:c r="B29" s="16" t="n">
        <x:v>0.012775710434652865</x:v>
      </x:c>
      <x:c r="C29" s="16" t="n">
        <x:v>0.7252854373073205</x:v>
      </x:c>
      <x:c r="D29" s="10" t="n">
        <x:v>1</x:v>
      </x:c>
      <x:c r="E29" s="11" t="n">
        <x:f>IF(B29&lt;=$B$7,-LN(C29)/$B$8,-LN(C29)/$B$9)</x:f>
        <x:v>1.3695954068806595</x:v>
      </x:c>
      <x:c r="F29" s="13"/>
      <x:c r="G29" s="13"/>
      <x:c r="H29" s="13"/>
      <x:c r="I29" s="13"/>
      <x:c r="J29" s="13"/>
      <x:c r="K29" s="13"/>
      <x:c r="L29" s="13"/>
      <x:c r="M29" s="13"/>
      <x:c r="N29" s="13"/>
      <x:c r="O29" s="13"/>
    </x:row>
    <x:row r="30">
      <x:c r="A30" s="10" t="n">
        <x:v>19</x:v>
      </x:c>
      <x:c r="B30" s="16" t="n">
        <x:v>0.9784081644611433</x:v>
      </x:c>
      <x:c r="C30" s="16" t="n">
        <x:v>0.08582388132344931</x:v>
      </x:c>
      <x:c r="D30" s="10" t="n">
        <x:v>2</x:v>
      </x:c>
      <x:c r="E30" s="11" t="n">
        <x:f>IF(B30&lt;=$B$7,-LN(C30)/$B$8,-LN(C30)/$B$9)</x:f>
        <x:v>165.48615149871662</x:v>
      </x:c>
      <x:c r="F30" s="13"/>
      <x:c r="G30" s="13"/>
      <x:c r="H30" s="13"/>
      <x:c r="I30" s="13"/>
      <x:c r="J30" s="13"/>
      <x:c r="K30" s="13"/>
      <x:c r="L30" s="13"/>
      <x:c r="M30" s="13"/>
      <x:c r="N30" s="13"/>
      <x:c r="O30" s="13"/>
    </x:row>
    <x:row r="31">
      <x:c r="A31" s="10" t="n">
        <x:v>20</x:v>
      </x:c>
      <x:c r="B31" s="16" t="n">
        <x:v>0.23193411121610552</x:v>
      </x:c>
      <x:c r="C31" s="16" t="n">
        <x:v>0.3623461847892031</x:v>
      </x:c>
      <x:c r="D31" s="10" t="n">
        <x:v>1</x:v>
      </x:c>
      <x:c r="E31" s="11" t="n">
        <x:f>IF(B31&lt;=$B$7,-LN(C31)/$B$8,-LN(C31)/$B$9)</x:f>
        <x:v>4.328752259182227</x:v>
      </x:c>
      <x:c r="F31" s="13"/>
      <x:c r="G31" s="13"/>
      <x:c r="H31" s="13"/>
      <x:c r="I31" s="13"/>
      <x:c r="J31" s="13"/>
      <x:c r="K31" s="13"/>
      <x:c r="L31" s="13"/>
      <x:c r="M31" s="13"/>
      <x:c r="N31" s="13"/>
      <x:c r="O31" s="13"/>
    </x:row>
    <x:row r="32">
      <x:c r="A32" s="10" t="n">
        <x:v>21</x:v>
      </x:c>
      <x:c r="B32" s="16" t="n">
        <x:v>0.5191104450495914</x:v>
      </x:c>
      <x:c r="C32" s="16" t="n">
        <x:v>0.5494203678099439</x:v>
      </x:c>
      <x:c r="D32" s="10" t="n">
        <x:v>1</x:v>
      </x:c>
      <x:c r="E32" s="11" t="n">
        <x:f>IF(B32&lt;=$B$7,-LN(C32)/$B$8,-LN(C32)/$B$9)</x:f>
        <x:v>2.553750020022383</x:v>
      </x:c>
      <x:c r="F32" s="13"/>
      <x:c r="G32" s="13"/>
      <x:c r="H32" s="13"/>
      <x:c r="I32" s="13"/>
      <x:c r="J32" s="13"/>
      <x:c r="K32" s="13"/>
      <x:c r="L32" s="13"/>
      <x:c r="M32" s="13"/>
      <x:c r="N32" s="13"/>
      <x:c r="O32" s="13"/>
    </x:row>
    <x:row r="33">
      <x:c r="A33" s="10" t="n">
        <x:v>22</x:v>
      </x:c>
      <x:c r="B33" s="16" t="n">
        <x:v>0.17360304354224354</x:v>
      </x:c>
      <x:c r="C33" s="16" t="n">
        <x:v>0.8419263496762142</x:v>
      </x:c>
      <x:c r="D33" s="10" t="n">
        <x:v>1</x:v>
      </x:c>
      <x:c r="E33" s="11" t="n">
        <x:f>IF(B33&lt;=$B$7,-LN(C33)/$B$8,-LN(C33)/$B$9)</x:f>
        <x:v>0.7336976277853519</x:v>
      </x:c>
      <x:c r="F33" s="13"/>
      <x:c r="G33" s="13"/>
      <x:c r="H33" s="13"/>
      <x:c r="I33" s="13"/>
      <x:c r="J33" s="13"/>
      <x:c r="K33" s="13"/>
      <x:c r="L33" s="13"/>
      <x:c r="M33" s="13"/>
      <x:c r="N33" s="13"/>
      <x:c r="O33" s="13"/>
    </x:row>
    <x:row r="34">
      <x:c r="A34" s="10" t="n">
        <x:v>23</x:v>
      </x:c>
      <x:c r="B34" s="16" t="n">
        <x:v>0.6930689971195534</x:v>
      </x:c>
      <x:c r="C34" s="16" t="n">
        <x:v>0.9083046213490888</x:v>
      </x:c>
      <x:c r="D34" s="10" t="n">
        <x:v>1</x:v>
      </x:c>
      <x:c r="E34" s="11" t="n">
        <x:f>IF(B34&lt;=$B$7,-LN(C34)/$B$8,-LN(C34)/$B$9)</x:f>
        <x:v>0.4101045637015083</x:v>
      </x:c>
      <x:c r="F34" s="13"/>
      <x:c r="G34" s="13"/>
      <x:c r="H34" s="13"/>
      <x:c r="I34" s="13"/>
      <x:c r="J34" s="13"/>
      <x:c r="K34" s="13"/>
      <x:c r="L34" s="13"/>
      <x:c r="M34" s="13"/>
      <x:c r="N34" s="13"/>
      <x:c r="O34" s="13"/>
    </x:row>
    <x:row r="35">
      <x:c r="A35" s="10" t="n">
        <x:v>24</x:v>
      </x:c>
      <x:c r="B35" s="16" t="n">
        <x:v>0.9857252888614312</x:v>
      </x:c>
      <x:c r="C35" s="16" t="n">
        <x:v>0.622316270484589</x:v>
      </x:c>
      <x:c r="D35" s="10" t="n">
        <x:v>2</x:v>
      </x:c>
      <x:c r="E35" s="11" t="n">
        <x:f>IF(B35&lt;=$B$7,-LN(C35)/$B$8,-LN(C35)/$B$9)</x:f>
        <x:v>31.966018047763548</x:v>
      </x:c>
      <x:c r="F35" s="13"/>
      <x:c r="G35" s="13"/>
      <x:c r="H35" s="13"/>
      <x:c r="I35" s="13"/>
      <x:c r="J35" s="13"/>
      <x:c r="K35" s="13"/>
      <x:c r="L35" s="13"/>
      <x:c r="M35" s="13"/>
      <x:c r="N35" s="13"/>
      <x:c r="O35" s="13"/>
    </x:row>
    <x:row r="36">
      <x:c r="A36" s="10" t="n">
        <x:v>25</x:v>
      </x:c>
      <x:c r="B36" s="16" t="n">
        <x:v>0.22600255731958896</x:v>
      </x:c>
      <x:c r="C36" s="16" t="n">
        <x:v>0.1425965855596587</x:v>
      </x:c>
      <x:c r="D36" s="10" t="n">
        <x:v>1</x:v>
      </x:c>
      <x:c r="E36" s="11" t="n">
        <x:f>IF(B36&lt;=$B$7,-LN(C36)/$B$8,-LN(C36)/$B$9)</x:f>
        <x:v>8.305395346769638</x:v>
      </x:c>
      <x:c r="F36" s="13"/>
      <x:c r="G36" s="13"/>
      <x:c r="H36" s="13"/>
      <x:c r="I36" s="13"/>
      <x:c r="J36" s="13"/>
      <x:c r="K36" s="13"/>
      <x:c r="L36" s="13"/>
      <x:c r="M36" s="13"/>
      <x:c r="N36" s="13"/>
      <x:c r="O36" s="13"/>
    </x:row>
    <x:row r="37">
      <x:c r="A37" s="10" t="n">
        <x:v>26</x:v>
      </x:c>
      <x:c r="B37" s="16" t="n">
        <x:v>0.8174528876552358</x:v>
      </x:c>
      <x:c r="C37" s="16" t="n">
        <x:v>0.003698528162203729</x:v>
      </x:c>
      <x:c r="D37" s="10" t="n">
        <x:v>1</x:v>
      </x:c>
      <x:c r="E37" s="11" t="n">
        <x:f>IF(B37&lt;=$B$7,-LN(C37)/$B$8,-LN(C37)/$B$9)</x:f>
        <x:v>23.878353393968222</x:v>
      </x:c>
      <x:c r="F37" s="13"/>
      <x:c r="G37" s="13"/>
      <x:c r="H37" s="13"/>
      <x:c r="I37" s="13"/>
      <x:c r="J37" s="13"/>
      <x:c r="K37" s="13"/>
      <x:c r="L37" s="13"/>
      <x:c r="M37" s="13"/>
      <x:c r="N37" s="13"/>
      <x:c r="O37" s="13"/>
    </x:row>
    <x:row r="38">
      <x:c r="A38" s="10" t="n">
        <x:v>27</x:v>
      </x:c>
      <x:c r="B38" s="16" t="n">
        <x:v>0.5284633889095858</x:v>
      </x:c>
      <x:c r="C38" s="16" t="n">
        <x:v>0.7582989250076935</x:v>
      </x:c>
      <x:c r="D38" s="10" t="n">
        <x:v>1</x:v>
      </x:c>
      <x:c r="E38" s="11" t="n">
        <x:f>IF(B38&lt;=$B$7,-LN(C38)/$B$8,-LN(C38)/$B$9)</x:f>
        <x:v>1.17978888201426</x:v>
      </x:c>
      <x:c r="F38" s="13"/>
      <x:c r="G38" s="13"/>
      <x:c r="H38" s="13"/>
      <x:c r="I38" s="13"/>
      <x:c r="J38" s="13"/>
      <x:c r="K38" s="13"/>
      <x:c r="L38" s="13"/>
      <x:c r="M38" s="13"/>
      <x:c r="N38" s="13"/>
      <x:c r="O38" s="13"/>
    </x:row>
    <x:row r="39">
      <x:c r="A39" s="10" t="n">
        <x:v>28</x:v>
      </x:c>
      <x:c r="B39" s="16" t="n">
        <x:v>0.754022627719678</x:v>
      </x:c>
      <x:c r="C39" s="16" t="n">
        <x:v>0.7502792937448248</x:v>
      </x:c>
      <x:c r="D39" s="10" t="n">
        <x:v>1</x:v>
      </x:c>
      <x:c r="E39" s="11" t="n">
        <x:f>IF(B39&lt;=$B$7,-LN(C39)/$B$8,-LN(C39)/$B$9)</x:f>
        <x:v>1.2251256896473322</x:v>
      </x:c>
      <x:c r="F39" s="13"/>
      <x:c r="G39" s="13"/>
      <x:c r="H39" s="13"/>
      <x:c r="I39" s="13"/>
      <x:c r="J39" s="13"/>
      <x:c r="K39" s="13"/>
      <x:c r="L39" s="13"/>
      <x:c r="M39" s="13"/>
      <x:c r="N39" s="13"/>
      <x:c r="O39" s="13"/>
    </x:row>
    <x:row r="40">
      <x:c r="A40" s="10" t="n">
        <x:v>29</x:v>
      </x:c>
      <x:c r="B40" s="16" t="n">
        <x:v>0.8772948012920097</x:v>
      </x:c>
      <x:c r="C40" s="16" t="n">
        <x:v>0.3649947791127488</x:v>
      </x:c>
      <x:c r="D40" s="10" t="n">
        <x:v>1</x:v>
      </x:c>
      <x:c r="E40" s="11" t="n">
        <x:f>IF(B40&lt;=$B$7,-LN(C40)/$B$8,-LN(C40)/$B$9)</x:f>
        <x:v>4.297696682820373</x:v>
      </x:c>
      <x:c r="F40" s="13"/>
      <x:c r="G40" s="13"/>
      <x:c r="H40" s="13"/>
      <x:c r="I40" s="13"/>
      <x:c r="J40" s="13"/>
      <x:c r="K40" s="13"/>
      <x:c r="L40" s="13"/>
      <x:c r="M40" s="13"/>
      <x:c r="N40" s="13"/>
      <x:c r="O40" s="13"/>
    </x:row>
    <x:row r="41">
      <x:c r="A41" s="10" t="n">
        <x:v>30</x:v>
      </x:c>
      <x:c r="B41" s="16" t="n">
        <x:v>0.1705768449464813</x:v>
      </x:c>
      <x:c r="C41" s="16" t="n">
        <x:v>0.6587087385123596</x:v>
      </x:c>
      <x:c r="D41" s="10" t="n">
        <x:v>1</x:v>
      </x:c>
      <x:c r="E41" s="11" t="n">
        <x:f>IF(B41&lt;=$B$7,-LN(C41)/$B$8,-LN(C41)/$B$9)</x:f>
        <x:v>1.7801619955872832</x:v>
      </x:c>
      <x:c r="F41" s="13"/>
      <x:c r="G41" s="13"/>
      <x:c r="H41" s="13"/>
      <x:c r="I41" s="13"/>
      <x:c r="J41" s="13"/>
      <x:c r="K41" s="13"/>
      <x:c r="L41" s="13"/>
      <x:c r="M41" s="13"/>
      <x:c r="N41" s="13"/>
      <x:c r="O41" s="13"/>
    </x:row>
    <x:row r="42">
      <x:c r="A42" s="10" t="n">
        <x:v>31</x:v>
      </x:c>
      <x:c r="B42" s="16" t="n">
        <x:v>0.39884648204315454</x:v>
      </x:c>
      <x:c r="C42" s="16" t="n">
        <x:v>0.176397078554146</x:v>
      </x:c>
      <x:c r="D42" s="10" t="n">
        <x:v>1</x:v>
      </x:c>
      <x:c r="E42" s="11" t="n">
        <x:f>IF(B42&lt;=$B$7,-LN(C42)/$B$8,-LN(C42)/$B$9)</x:f>
        <x:v>7.398338384940139</x:v>
      </x:c>
      <x:c r="F42" s="13"/>
      <x:c r="G42" s="13"/>
      <x:c r="H42" s="13"/>
      <x:c r="I42" s="13"/>
      <x:c r="J42" s="13"/>
      <x:c r="K42" s="13"/>
      <x:c r="L42" s="13"/>
      <x:c r="M42" s="13"/>
      <x:c r="N42" s="13"/>
      <x:c r="O42" s="13"/>
    </x:row>
    <x:row r="43">
      <x:c r="A43" s="10" t="n">
        <x:v>32</x:v>
      </x:c>
      <x:c r="B43" s="16" t="n">
        <x:v>0.5830545366043225</x:v>
      </x:c>
      <x:c r="C43" s="16" t="n">
        <x:v>0.08841550664510578</x:v>
      </x:c>
      <x:c r="D43" s="10" t="n">
        <x:v>1</x:v>
      </x:c>
      <x:c r="E43" s="11" t="n">
        <x:f>IF(B43&lt;=$B$7,-LN(C43)/$B$8,-LN(C43)/$B$9)</x:f>
        <x:v>10.34353019757691</x:v>
      </x:c>
      <x:c r="F43" s="13"/>
      <x:c r="G43" s="13"/>
      <x:c r="H43" s="13"/>
      <x:c r="I43" s="13"/>
      <x:c r="J43" s="13"/>
      <x:c r="K43" s="13"/>
      <x:c r="L43" s="13"/>
      <x:c r="M43" s="13"/>
      <x:c r="N43" s="13"/>
      <x:c r="O43" s="13"/>
    </x:row>
    <x:row r="44">
      <x:c r="A44" s="10" t="n">
        <x:v>33</x:v>
      </x:c>
      <x:c r="B44" s="16" t="n">
        <x:v>0.0570726414443925</x:v>
      </x:c>
      <x:c r="C44" s="16" t="n">
        <x:v>0.07437442417722195</x:v>
      </x:c>
      <x:c r="D44" s="10" t="n">
        <x:v>1</x:v>
      </x:c>
      <x:c r="E44" s="11" t="n">
        <x:f>IF(B44&lt;=$B$7,-LN(C44)/$B$8,-LN(C44)/$B$9)</x:f>
        <x:v>11.080948310973097</x:v>
      </x:c>
      <x:c r="F44" s="13"/>
      <x:c r="G44" s="13"/>
      <x:c r="H44" s="13"/>
      <x:c r="I44" s="13"/>
      <x:c r="J44" s="13"/>
      <x:c r="K44" s="13"/>
      <x:c r="L44" s="13"/>
      <x:c r="M44" s="13"/>
      <x:c r="N44" s="13"/>
      <x:c r="O44" s="13"/>
    </x:row>
    <x:row r="45">
      <x:c r="A45" s="10" t="n">
        <x:v>34</x:v>
      </x:c>
      <x:c r="B45" s="16" t="n">
        <x:v>0.3242777871200815</x:v>
      </x:c>
      <x:c r="C45" s="16" t="n">
        <x:v>0.719480250380002</x:v>
      </x:c>
      <x:c r="D45" s="10" t="n">
        <x:v>1</x:v>
      </x:c>
      <x:c r="E45" s="11" t="n">
        <x:f>IF(B45&lt;=$B$7,-LN(C45)/$B$8,-LN(C45)/$B$9)</x:f>
        <x:v>1.4038628266723516</x:v>
      </x:c>
      <x:c r="F45" s="13"/>
      <x:c r="G45" s="13"/>
      <x:c r="H45" s="13"/>
      <x:c r="I45" s="13"/>
      <x:c r="J45" s="13"/>
      <x:c r="K45" s="13"/>
      <x:c r="L45" s="13"/>
      <x:c r="M45" s="13"/>
      <x:c r="N45" s="13"/>
      <x:c r="O45" s="13"/>
    </x:row>
    <x:row r="46">
      <x:c r="A46" s="10" t="n">
        <x:v>35</x:v>
      </x:c>
      <x:c r="B46" s="16" t="n">
        <x:v>0.09963796951342374</x:v>
      </x:c>
      <x:c r="C46" s="16" t="n">
        <x:v>0.12707852839957923</x:v>
      </x:c>
      <x:c r="D46" s="10" t="n">
        <x:v>1</x:v>
      </x:c>
      <x:c r="E46" s="11" t="n">
        <x:f>IF(B46&lt;=$B$7,-LN(C46)/$B$8,-LN(C46)/$B$9)</x:f>
        <x:v>8.79668407155583</x:v>
      </x:c>
      <x:c r="F46" s="13"/>
      <x:c r="G46" s="13"/>
      <x:c r="H46" s="13"/>
      <x:c r="I46" s="13"/>
      <x:c r="J46" s="13"/>
      <x:c r="K46" s="13"/>
      <x:c r="L46" s="13"/>
      <x:c r="M46" s="13"/>
      <x:c r="N46" s="13"/>
      <x:c r="O46" s="13"/>
    </x:row>
    <x:row r="47">
      <x:c r="A47" s="10" t="n">
        <x:v>36</x:v>
      </x:c>
      <x:c r="B47" s="16" t="n">
        <x:v>0.6233585063600913</x:v>
      </x:c>
      <x:c r="C47" s="16" t="n">
        <x:v>0.05367322766687721</x:v>
      </x:c>
      <x:c r="D47" s="10" t="n">
        <x:v>1</x:v>
      </x:c>
      <x:c r="E47" s="11" t="n">
        <x:f>IF(B47&lt;=$B$7,-LN(C47)/$B$8,-LN(C47)/$B$9)</x:f>
        <x:v>12.471897634111532</x:v>
      </x:c>
      <x:c r="F47" s="13"/>
      <x:c r="G47" s="13"/>
      <x:c r="H47" s="13"/>
      <x:c r="I47" s="13"/>
      <x:c r="J47" s="13"/>
      <x:c r="K47" s="13"/>
      <x:c r="L47" s="13"/>
      <x:c r="M47" s="13"/>
      <x:c r="N47" s="13"/>
      <x:c r="O47" s="13"/>
    </x:row>
    <x:row r="48">
      <x:c r="A48" s="10" t="n">
        <x:v>37</x:v>
      </x:c>
      <x:c r="B48" s="16" t="n">
        <x:v>0.6651564055355266</x:v>
      </x:c>
      <x:c r="C48" s="16" t="n">
        <x:v>0.701798219117336</x:v>
      </x:c>
      <x:c r="D48" s="10" t="n">
        <x:v>1</x:v>
      </x:c>
      <x:c r="E48" s="11" t="n">
        <x:f>IF(B48&lt;=$B$7,-LN(C48)/$B$8,-LN(C48)/$B$9)</x:f>
        <x:v>1.5099677809764511</x:v>
      </x:c>
      <x:c r="F48" s="13"/>
      <x:c r="G48" s="13"/>
      <x:c r="H48" s="13"/>
      <x:c r="I48" s="13"/>
      <x:c r="J48" s="13"/>
      <x:c r="K48" s="13"/>
      <x:c r="L48" s="13"/>
      <x:c r="M48" s="13"/>
      <x:c r="N48" s="13"/>
      <x:c r="O48" s="13"/>
    </x:row>
    <x:row r="49">
      <x:c r="A49" s="10" t="n">
        <x:v>38</x:v>
      </x:c>
      <x:c r="B49" s="16" t="n">
        <x:v>0.916550480411388</x:v>
      </x:c>
      <x:c r="C49" s="16" t="n">
        <x:v>0.42428096232470125</x:v>
      </x:c>
      <x:c r="D49" s="10" t="n">
        <x:v>1</x:v>
      </x:c>
      <x:c r="E49" s="11" t="n">
        <x:f>IF(B49&lt;=$B$7,-LN(C49)/$B$8,-LN(C49)/$B$9)</x:f>
        <x:v>3.655890623787392</x:v>
      </x:c>
      <x:c r="F49" s="13"/>
      <x:c r="G49" s="13"/>
      <x:c r="H49" s="13"/>
      <x:c r="I49" s="13"/>
      <x:c r="J49" s="13"/>
      <x:c r="K49" s="13"/>
      <x:c r="L49" s="13"/>
      <x:c r="M49" s="13"/>
      <x:c r="N49" s="13"/>
      <x:c r="O49" s="13"/>
    </x:row>
    <x:row r="50">
      <x:c r="A50" s="10" t="n">
        <x:v>39</x:v>
      </x:c>
      <x:c r="B50" s="16" t="n">
        <x:v>0.5046877200948074</x:v>
      </x:c>
      <x:c r="C50" s="16" t="n">
        <x:v>0.563165006111376</x:v>
      </x:c>
      <x:c r="D50" s="10" t="n">
        <x:v>1</x:v>
      </x:c>
      <x:c r="E50" s="11" t="n">
        <x:f>IF(B50&lt;=$B$7,-LN(C50)/$B$8,-LN(C50)/$B$9)</x:f>
        <x:v>2.4483884236835336</x:v>
      </x:c>
      <x:c r="F50" s="13"/>
      <x:c r="G50" s="13"/>
      <x:c r="H50" s="13"/>
      <x:c r="I50" s="13"/>
      <x:c r="J50" s="13"/>
      <x:c r="K50" s="13"/>
      <x:c r="L50" s="13"/>
      <x:c r="M50" s="13"/>
      <x:c r="N50" s="13"/>
      <x:c r="O50" s="13"/>
    </x:row>
    <x:row r="51">
      <x:c r="A51" s="10" t="n">
        <x:v>40</x:v>
      </x:c>
      <x:c r="B51" s="16" t="n">
        <x:v>0.4676717348629609</x:v>
      </x:c>
      <x:c r="C51" s="16" t="n">
        <x:v>0.5303469666978344</x:v>
      </x:c>
      <x:c r="D51" s="10" t="n">
        <x:v>1</x:v>
      </x:c>
      <x:c r="E51" s="11" t="n">
        <x:f>IF(B51&lt;=$B$7,-LN(C51)/$B$8,-LN(C51)/$B$9)</x:f>
        <x:v>2.704411910335129</x:v>
      </x:c>
      <x:c r="F51" s="13"/>
      <x:c r="G51" s="13"/>
      <x:c r="H51" s="13"/>
      <x:c r="I51" s="13"/>
      <x:c r="J51" s="13"/>
      <x:c r="K51" s="13"/>
      <x:c r="L51" s="13"/>
      <x:c r="M51" s="13"/>
      <x:c r="N51" s="13"/>
      <x:c r="O51" s="13"/>
    </x:row>
    <x:row r="52">
      <x:c r="A52" s="10" t="n">
        <x:v>41</x:v>
      </x:c>
      <x:c r="B52" s="16" t="n">
        <x:v>0.020616909605450928</x:v>
      </x:c>
      <x:c r="C52" s="16" t="n">
        <x:v>0.5973352099535987</x:v>
      </x:c>
      <x:c r="D52" s="10" t="n">
        <x:v>1</x:v>
      </x:c>
      <x:c r="E52" s="11" t="n">
        <x:f>IF(B52&lt;=$B$7,-LN(C52)/$B$8,-LN(C52)/$B$9)</x:f>
        <x:v>2.1972066192522552</x:v>
      </x:c>
      <x:c r="F52" s="13"/>
      <x:c r="G52" s="13"/>
      <x:c r="H52" s="13"/>
      <x:c r="I52" s="13"/>
      <x:c r="J52" s="13"/>
      <x:c r="K52" s="13"/>
      <x:c r="L52" s="13"/>
      <x:c r="M52" s="13"/>
      <x:c r="N52" s="13"/>
      <x:c r="O52" s="13"/>
    </x:row>
    <x:row r="53">
      <x:c r="A53" s="10" t="n">
        <x:v>42</x:v>
      </x:c>
      <x:c r="B53" s="16" t="n">
        <x:v>0.6262222105870023</x:v>
      </x:c>
      <x:c r="C53" s="16" t="n">
        <x:v>0.7609515268122777</x:v>
      </x:c>
      <x:c r="D53" s="10" t="n">
        <x:v>1</x:v>
      </x:c>
      <x:c r="E53" s="11" t="n">
        <x:f>IF(B53&lt;=$B$7,-LN(C53)/$B$8,-LN(C53)/$B$9)</x:f>
        <x:v>1.1648985834512506</x:v>
      </x:c>
      <x:c r="F53" s="13"/>
      <x:c r="G53" s="13"/>
      <x:c r="H53" s="13"/>
      <x:c r="I53" s="13"/>
      <x:c r="J53" s="13"/>
      <x:c r="K53" s="13"/>
      <x:c r="L53" s="13"/>
      <x:c r="M53" s="13"/>
      <x:c r="N53" s="13"/>
      <x:c r="O53" s="13"/>
    </x:row>
    <x:row r="54">
      <x:c r="A54" s="10" t="n">
        <x:v>43</x:v>
      </x:c>
      <x:c r="B54" s="16" t="n">
        <x:v>0.07604140334296972</x:v>
      </x:c>
      <x:c r="C54" s="16" t="n">
        <x:v>0.052773653413169086</x:v>
      </x:c>
      <x:c r="D54" s="10" t="n">
        <x:v>1</x:v>
      </x:c>
      <x:c r="E54" s="11" t="n">
        <x:f>IF(B54&lt;=$B$7,-LN(C54)/$B$8,-LN(C54)/$B$9)</x:f>
        <x:v>12.543970981544259</x:v>
      </x:c>
      <x:c r="F54" s="13"/>
      <x:c r="G54" s="13"/>
      <x:c r="H54" s="13"/>
      <x:c r="I54" s="13"/>
      <x:c r="J54" s="13"/>
      <x:c r="K54" s="13"/>
      <x:c r="L54" s="13"/>
      <x:c r="M54" s="13"/>
      <x:c r="N54" s="13"/>
      <x:c r="O54" s="13"/>
    </x:row>
    <x:row r="55">
      <x:c r="A55" s="10" t="n">
        <x:v>44</x:v>
      </x:c>
      <x:c r="B55" s="16" t="n">
        <x:v>0.3013217520201579</x:v>
      </x:c>
      <x:c r="C55" s="16" t="n">
        <x:v>0.8251555500319228</x:v>
      </x:c>
      <x:c r="D55" s="10" t="n">
        <x:v>1</x:v>
      </x:c>
      <x:c r="E55" s="11" t="n">
        <x:f>IF(B55&lt;=$B$7,-LN(C55)/$B$8,-LN(C55)/$B$9)</x:f>
        <x:v>0.819494560843446</x:v>
      </x:c>
      <x:c r="F55" s="13"/>
      <x:c r="G55" s="13"/>
      <x:c r="H55" s="13"/>
      <x:c r="I55" s="13"/>
      <x:c r="J55" s="13"/>
      <x:c r="K55" s="13"/>
      <x:c r="L55" s="13"/>
      <x:c r="M55" s="13"/>
      <x:c r="N55" s="13"/>
      <x:c r="O55" s="13"/>
    </x:row>
    <x:row r="56">
      <x:c r="A56" s="10" t="n">
        <x:v>45</x:v>
      </x:c>
      <x:c r="B56" s="16" t="n">
        <x:v>0.27779108297545463</x:v>
      </x:c>
      <x:c r="C56" s="16" t="n">
        <x:v>0.4382639153627679</x:v>
      </x:c>
      <x:c r="D56" s="10" t="n">
        <x:v>1</x:v>
      </x:c>
      <x:c r="E56" s="11" t="n">
        <x:f>IF(B56&lt;=$B$7,-LN(C56)/$B$8,-LN(C56)/$B$9)</x:f>
        <x:v>3.517624583383026</x:v>
      </x:c>
      <x:c r="F56" s="13"/>
      <x:c r="G56" s="13"/>
      <x:c r="H56" s="13"/>
      <x:c r="I56" s="13"/>
      <x:c r="J56" s="13"/>
      <x:c r="K56" s="13"/>
      <x:c r="L56" s="13"/>
      <x:c r="M56" s="13"/>
      <x:c r="N56" s="13"/>
      <x:c r="O56" s="13"/>
    </x:row>
    <x:row r="57">
      <x:c r="A57" s="10" t="n">
        <x:v>46</x:v>
      </x:c>
      <x:c r="B57" s="16" t="n">
        <x:v>0.4795934079447761</x:v>
      </x:c>
      <x:c r="C57" s="16" t="n">
        <x:v>0.45323347521480173</x:v>
      </x:c>
      <x:c r="D57" s="10" t="n">
        <x:v>1</x:v>
      </x:c>
      <x:c r="E57" s="11" t="n">
        <x:f>IF(B57&lt;=$B$7,-LN(C57)/$B$8,-LN(C57)/$B$9)</x:f>
        <x:v>3.3744090731456207</x:v>
      </x:c>
      <x:c r="F57" s="13"/>
      <x:c r="G57" s="13"/>
      <x:c r="H57" s="13"/>
      <x:c r="I57" s="13"/>
      <x:c r="J57" s="13"/>
      <x:c r="K57" s="13"/>
      <x:c r="L57" s="13"/>
      <x:c r="M57" s="13"/>
      <x:c r="N57" s="13"/>
      <x:c r="O57" s="13"/>
    </x:row>
    <x:row r="58">
      <x:c r="A58" s="10" t="n">
        <x:v>47</x:v>
      </x:c>
      <x:c r="B58" s="16" t="n">
        <x:v>0.6862061145948246</x:v>
      </x:c>
      <x:c r="C58" s="16" t="n">
        <x:v>0.46877014718484133</x:v>
      </x:c>
      <x:c r="D58" s="10" t="n">
        <x:v>1</x:v>
      </x:c>
      <x:c r="E58" s="11" t="n">
        <x:f>IF(B58&lt;=$B$7,-LN(C58)/$B$8,-LN(C58)/$B$9)</x:f>
        <x:v>3.230685912622242</x:v>
      </x:c>
      <x:c r="F58" s="13"/>
      <x:c r="G58" s="13"/>
      <x:c r="H58" s="13"/>
      <x:c r="I58" s="13"/>
      <x:c r="J58" s="13"/>
      <x:c r="K58" s="13"/>
      <x:c r="L58" s="13"/>
      <x:c r="M58" s="13"/>
      <x:c r="N58" s="13"/>
      <x:c r="O58" s="13"/>
    </x:row>
    <x:row r="59">
      <x:c r="A59" s="10" t="n">
        <x:v>48</x:v>
      </x:c>
      <x:c r="B59" s="16" t="n">
        <x:v>0.8651170447701588</x:v>
      </x:c>
      <x:c r="C59" s="16" t="n">
        <x:v>0.1848202453693375</x:v>
      </x:c>
      <x:c r="D59" s="10" t="n">
        <x:v>1</x:v>
      </x:c>
      <x:c r="E59" s="11" t="n">
        <x:f>IF(B59&lt;=$B$7,-LN(C59)/$B$8,-LN(C59)/$B$9)</x:f>
        <x:v>7.1994333183353545</x:v>
      </x:c>
      <x:c r="F59" s="13"/>
      <x:c r="G59" s="13"/>
      <x:c r="H59" s="13"/>
      <x:c r="I59" s="13"/>
      <x:c r="J59" s="13"/>
      <x:c r="K59" s="13"/>
      <x:c r="L59" s="13"/>
      <x:c r="M59" s="13"/>
      <x:c r="N59" s="13"/>
      <x:c r="O59" s="13"/>
    </x:row>
    <x:row r="60">
      <x:c r="A60" s="10" t="n">
        <x:v>49</x:v>
      </x:c>
      <x:c r="B60" s="16" t="n">
        <x:v>0.15479759324807674</x:v>
      </x:c>
      <x:c r="C60" s="16" t="n">
        <x:v>0.6997754516778514</x:v>
      </x:c>
      <x:c r="D60" s="10" t="n">
        <x:v>1</x:v>
      </x:c>
      <x:c r="E60" s="11" t="n">
        <x:f>IF(B60&lt;=$B$7,-LN(C60)/$B$8,-LN(C60)/$B$9)</x:f>
        <x:v>1.522275869272708</x:v>
      </x:c>
      <x:c r="F60" s="13"/>
      <x:c r="G60" s="13"/>
      <x:c r="H60" s="13"/>
      <x:c r="I60" s="13"/>
      <x:c r="J60" s="13"/>
      <x:c r="K60" s="13"/>
      <x:c r="L60" s="13"/>
      <x:c r="M60" s="13"/>
      <x:c r="N60" s="13"/>
      <x:c r="O60" s="13"/>
    </x:row>
    <x:row r="61">
      <x:c r="A61" s="10" t="n">
        <x:v>50</x:v>
      </x:c>
      <x:c r="B61" s="16" t="n">
        <x:v>0.9695782723138109</x:v>
      </x:c>
      <x:c r="C61" s="16" t="n">
        <x:v>0.5095973428105935</x:v>
      </x:c>
      <x:c r="D61" s="10" t="n">
        <x:v>2</x:v>
      </x:c>
      <x:c r="E61" s="11" t="n">
        <x:f>IF(B61&lt;=$B$7,-LN(C61)/$B$8,-LN(C61)/$B$9)</x:f>
        <x:v>45.433441258250575</x:v>
      </x:c>
      <x:c r="F61" s="13"/>
      <x:c r="G61" s="13"/>
      <x:c r="H61" s="13"/>
      <x:c r="I61" s="13"/>
      <x:c r="J61" s="13"/>
      <x:c r="K61" s="13"/>
      <x:c r="L61" s="13"/>
      <x:c r="M61" s="13"/>
      <x:c r="N61" s="13"/>
      <x:c r="O61" s="13"/>
    </x:row>
    <x:row r="62">
      <x:c r="A62" s="10" t="n">
        <x:v>51</x:v>
      </x:c>
      <x:c r="B62" s="16" t="n">
        <x:v>0.7529159999685362</x:v>
      </x:c>
      <x:c r="C62" s="16" t="n">
        <x:v>0.7407218244625255</x:v>
      </x:c>
      <x:c r="D62" s="10" t="n">
        <x:v>1</x:v>
      </x:c>
      <x:c r="E62" s="11" t="n">
        <x:f>IF(B62&lt;=$B$7,-LN(C62)/$B$8,-LN(C62)/$B$9)</x:f>
        <x:v>1.2797934356640768</x:v>
      </x:c>
      <x:c r="F62" s="13"/>
      <x:c r="G62" s="13"/>
      <x:c r="H62" s="13"/>
      <x:c r="I62" s="13"/>
      <x:c r="J62" s="13"/>
      <x:c r="K62" s="13"/>
      <x:c r="L62" s="13"/>
      <x:c r="M62" s="13"/>
      <x:c r="N62" s="13"/>
      <x:c r="O62" s="13"/>
    </x:row>
    <x:row r="63">
      <x:c r="A63" s="10" t="n">
        <x:v>52</x:v>
      </x:c>
      <x:c r="B63" s="16" t="n">
        <x:v>0.2307376820826903</x:v>
      </x:c>
      <x:c r="C63" s="16" t="n">
        <x:v>0.876142886816524</x:v>
      </x:c>
      <x:c r="D63" s="10" t="n">
        <x:v>1</x:v>
      </x:c>
      <x:c r="E63" s="11" t="n">
        <x:f>IF(B63&lt;=$B$7,-LN(C63)/$B$8,-LN(C63)/$B$9)</x:f>
        <x:v>0.5638290306961905</x:v>
      </x:c>
      <x:c r="F63" s="13"/>
      <x:c r="G63" s="13"/>
      <x:c r="H63" s="13"/>
      <x:c r="I63" s="13"/>
      <x:c r="J63" s="13"/>
      <x:c r="K63" s="13"/>
      <x:c r="L63" s="13"/>
      <x:c r="M63" s="13"/>
      <x:c r="N63" s="13"/>
      <x:c r="O63" s="13"/>
    </x:row>
    <x:row r="64">
      <x:c r="A64" s="10" t="n">
        <x:v>53</x:v>
      </x:c>
      <x:c r="B64" s="16" t="n">
        <x:v>0.9745524713071063</x:v>
      </x:c>
      <x:c r="C64" s="16" t="n">
        <x:v>0.188176657888107</x:v>
      </x:c>
      <x:c r="D64" s="10" t="n">
        <x:v>2</x:v>
      </x:c>
      <x:c r="E64" s="11" t="n">
        <x:f>IF(B64&lt;=$B$7,-LN(C64)/$B$8,-LN(C64)/$B$9)</x:f>
        <x:v>112.57524350190866</x:v>
      </x:c>
      <x:c r="F64" s="13"/>
      <x:c r="G64" s="13"/>
      <x:c r="H64" s="13"/>
      <x:c r="I64" s="13"/>
      <x:c r="J64" s="13"/>
      <x:c r="K64" s="13"/>
      <x:c r="L64" s="13"/>
      <x:c r="M64" s="13"/>
      <x:c r="N64" s="13"/>
      <x:c r="O64" s="13"/>
    </x:row>
    <x:row r="65">
      <x:c r="A65" s="10" t="n">
        <x:v>54</x:v>
      </x:c>
      <x:c r="B65" s="16" t="n">
        <x:v>0.9873453980544582</x:v>
      </x:c>
      <x:c r="C65" s="16" t="n">
        <x:v>0.3345707937842235</x:v>
      </x:c>
      <x:c r="D65" s="10" t="n">
        <x:v>2</x:v>
      </x:c>
      <x:c r="E65" s="11" t="n">
        <x:f>IF(B65&lt;=$B$7,-LN(C65)/$B$8,-LN(C65)/$B$9)</x:f>
        <x:v>73.7914928213679</x:v>
      </x:c>
      <x:c r="F65" s="13"/>
      <x:c r="G65" s="13"/>
      <x:c r="H65" s="13"/>
      <x:c r="I65" s="13"/>
      <x:c r="J65" s="13"/>
      <x:c r="K65" s="13"/>
      <x:c r="L65" s="13"/>
      <x:c r="M65" s="13"/>
      <x:c r="N65" s="13"/>
      <x:c r="O65" s="13"/>
    </x:row>
    <x:row r="66">
      <x:c r="A66" s="10" t="n">
        <x:v>55</x:v>
      </x:c>
      <x:c r="B66" s="16" t="n">
        <x:v>0.6863978813635185</x:v>
      </x:c>
      <x:c r="C66" s="16" t="n">
        <x:v>0.6693508074386045</x:v>
      </x:c>
      <x:c r="D66" s="10" t="n">
        <x:v>1</x:v>
      </x:c>
      <x:c r="E66" s="11" t="n">
        <x:f>IF(B66&lt;=$B$7,-LN(C66)/$B$8,-LN(C66)/$B$9)</x:f>
        <x:v>1.7118215047905334</x:v>
      </x:c>
      <x:c r="F66" s="13"/>
      <x:c r="G66" s="13"/>
      <x:c r="H66" s="13"/>
      <x:c r="I66" s="13"/>
      <x:c r="J66" s="13"/>
      <x:c r="K66" s="13"/>
      <x:c r="L66" s="13"/>
      <x:c r="M66" s="13"/>
      <x:c r="N66" s="13"/>
      <x:c r="O66" s="13"/>
    </x:row>
    <x:row r="67">
      <x:c r="A67" s="10" t="n">
        <x:v>56</x:v>
      </x:c>
      <x:c r="B67" s="16" t="n">
        <x:v>0.38862593995872885</x:v>
      </x:c>
      <x:c r="C67" s="16" t="n">
        <x:v>0.8285839998861775</x:v>
      </x:c>
      <x:c r="D67" s="10" t="n">
        <x:v>1</x:v>
      </x:c>
      <x:c r="E67" s="11" t="n">
        <x:f>IF(B67&lt;=$B$7,-LN(C67)/$B$8,-LN(C67)/$B$9)</x:f>
        <x:v>0.8018141810881328</x:v>
      </x:c>
      <x:c r="F67" s="13"/>
      <x:c r="G67" s="13"/>
      <x:c r="H67" s="13"/>
      <x:c r="I67" s="13"/>
      <x:c r="J67" s="13"/>
      <x:c r="K67" s="13"/>
      <x:c r="L67" s="13"/>
      <x:c r="M67" s="13"/>
      <x:c r="N67" s="13"/>
      <x:c r="O67" s="13"/>
    </x:row>
    <x:row r="68">
      <x:c r="A68" s="10" t="n">
        <x:v>57</x:v>
      </x:c>
      <x:c r="B68" s="16" t="n">
        <x:v>0.01828473631758243</x:v>
      </x:c>
      <x:c r="C68" s="16" t="n">
        <x:v>0.6365932206390426</x:v>
      </x:c>
      <x:c r="D68" s="10" t="n">
        <x:v>1</x:v>
      </x:c>
      <x:c r="E68" s="11" t="n">
        <x:f>IF(B68&lt;=$B$7,-LN(C68)/$B$8,-LN(C68)/$B$9)</x:f>
        <x:v>1.9257845264723779</x:v>
      </x:c>
      <x:c r="F68" s="13"/>
      <x:c r="G68" s="13"/>
      <x:c r="H68" s="13"/>
      <x:c r="I68" s="13"/>
      <x:c r="J68" s="13"/>
      <x:c r="K68" s="13"/>
      <x:c r="L68" s="13"/>
      <x:c r="M68" s="13"/>
      <x:c r="N68" s="13"/>
      <x:c r="O68" s="13"/>
    </x:row>
    <x:row r="69">
      <x:c r="A69" s="10" t="n">
        <x:v>58</x:v>
      </x:c>
      <x:c r="B69" s="16" t="n">
        <x:v>0.5664583990583196</x:v>
      </x:c>
      <x:c r="C69" s="16" t="n">
        <x:v>0.4025667462265119</x:v>
      </x:c>
      <x:c r="D69" s="10" t="n">
        <x:v>1</x:v>
      </x:c>
      <x:c r="E69" s="11" t="n">
        <x:f>IF(B69&lt;=$B$7,-LN(C69)/$B$8,-LN(C69)/$B$9)</x:f>
        <x:v>3.8799064880974403</x:v>
      </x:c>
      <x:c r="F69" s="13"/>
      <x:c r="G69" s="13"/>
      <x:c r="H69" s="13"/>
      <x:c r="I69" s="13"/>
      <x:c r="J69" s="13"/>
      <x:c r="K69" s="13"/>
      <x:c r="L69" s="13"/>
      <x:c r="M69" s="13"/>
      <x:c r="N69" s="13"/>
      <x:c r="O69" s="13"/>
    </x:row>
    <x:row r="70">
      <x:c r="A70" s="10" t="n">
        <x:v>59</x:v>
      </x:c>
      <x:c r="B70" s="16" t="n">
        <x:v>0.6491368814604357</x:v>
      </x:c>
      <x:c r="C70" s="16" t="n">
        <x:v>0.8034871284617111</x:v>
      </x:c>
      <x:c r="D70" s="10" t="n">
        <x:v>1</x:v>
      </x:c>
      <x:c r="E70" s="11" t="n">
        <x:f>IF(B70&lt;=$B$7,-LN(C70)/$B$8,-LN(C70)/$B$9)</x:f>
        <x:v>0.9329662108823151</x:v>
      </x:c>
      <x:c r="F70" s="13"/>
      <x:c r="G70" s="13"/>
      <x:c r="H70" s="13"/>
      <x:c r="I70" s="13"/>
      <x:c r="J70" s="13"/>
      <x:c r="K70" s="13"/>
      <x:c r="L70" s="13"/>
      <x:c r="M70" s="13"/>
      <x:c r="N70" s="13"/>
      <x:c r="O70" s="13"/>
    </x:row>
    <x:row r="71">
      <x:c r="A71" s="10" t="n">
        <x:v>60</x:v>
      </x:c>
      <x:c r="B71" s="16" t="n">
        <x:v>0.648376926430501</x:v>
      </x:c>
      <x:c r="C71" s="16" t="n">
        <x:v>0.8393409264972433</x:v>
      </x:c>
      <x:c r="D71" s="10" t="n">
        <x:v>1</x:v>
      </x:c>
      <x:c r="E71" s="11" t="n">
        <x:f>IF(B71&lt;=$B$7,-LN(C71)/$B$8,-LN(C71)/$B$9)</x:f>
        <x:v>0.7468122413524607</x:v>
      </x:c>
      <x:c r="F71" s="13"/>
      <x:c r="G71" s="13"/>
      <x:c r="H71" s="13"/>
      <x:c r="I71" s="13"/>
      <x:c r="J71" s="13"/>
      <x:c r="K71" s="13"/>
      <x:c r="L71" s="13"/>
      <x:c r="M71" s="13"/>
      <x:c r="N71" s="13"/>
      <x:c r="O71" s="13"/>
    </x:row>
    <x:row r="72">
      <x:c r="A72" s="10" t="n">
        <x:v>61</x:v>
      </x:c>
      <x:c r="B72" s="16" t="n">
        <x:v>0.19155202072579414</x:v>
      </x:c>
      <x:c r="C72" s="16" t="n">
        <x:v>0.36317279923241585</x:v>
      </x:c>
      <x:c r="D72" s="10" t="n">
        <x:v>1</x:v>
      </x:c>
      <x:c r="E72" s="11" t="n">
        <x:f>IF(B72&lt;=$B$7,-LN(C72)/$B$8,-LN(C72)/$B$9)</x:f>
        <x:v>4.3190356513560415</x:v>
      </x:c>
      <x:c r="F72" s="13"/>
      <x:c r="G72" s="13"/>
      <x:c r="H72" s="13"/>
      <x:c r="I72" s="13"/>
      <x:c r="J72" s="13"/>
      <x:c r="K72" s="13"/>
      <x:c r="L72" s="13"/>
      <x:c r="M72" s="13"/>
      <x:c r="N72" s="13"/>
      <x:c r="O72" s="13"/>
    </x:row>
    <x:row r="73">
      <x:c r="A73" s="10" t="n">
        <x:v>62</x:v>
      </x:c>
      <x:c r="B73" s="16" t="n">
        <x:v>0.43951653374824673</x:v>
      </x:c>
      <x:c r="C73" s="16" t="n">
        <x:v>0.49421149713452905</x:v>
      </x:c>
      <x:c r="D73" s="10" t="n">
        <x:v>1</x:v>
      </x:c>
      <x:c r="E73" s="11" t="n">
        <x:f>IF(B73&lt;=$B$7,-LN(C73)/$B$8,-LN(C73)/$B$9)</x:f>
        <x:v>3.0053224563454513</x:v>
      </x:c>
      <x:c r="F73" s="13"/>
      <x:c r="G73" s="13"/>
      <x:c r="H73" s="13"/>
      <x:c r="I73" s="13"/>
      <x:c r="J73" s="13"/>
      <x:c r="K73" s="13"/>
      <x:c r="L73" s="13"/>
      <x:c r="M73" s="13"/>
      <x:c r="N73" s="13"/>
      <x:c r="O73" s="13"/>
    </x:row>
    <x:row r="74">
      <x:c r="A74" s="10" t="n">
        <x:v>63</x:v>
      </x:c>
      <x:c r="B74" s="16" t="n">
        <x:v>0.6281420487212017</x:v>
      </x:c>
      <x:c r="C74" s="16" t="n">
        <x:v>0.3795218550367281</x:v>
      </x:c>
      <x:c r="D74" s="10" t="n">
        <x:v>1</x:v>
      </x:c>
      <x:c r="E74" s="11" t="n">
        <x:f>IF(B74&lt;=$B$7,-LN(C74)/$B$8,-LN(C74)/$B$9)</x:f>
        <x:v>4.131271438512763</x:v>
      </x:c>
      <x:c r="F74" s="13"/>
      <x:c r="G74" s="13"/>
      <x:c r="H74" s="13"/>
      <x:c r="I74" s="13"/>
      <x:c r="J74" s="13"/>
      <x:c r="K74" s="13"/>
      <x:c r="L74" s="13"/>
      <x:c r="M74" s="13"/>
      <x:c r="N74" s="13"/>
      <x:c r="O74" s="13"/>
    </x:row>
    <x:row r="75">
      <x:c r="A75" s="10" t="n">
        <x:v>64</x:v>
      </x:c>
      <x:c r="B75" s="16" t="n">
        <x:v>0.8516292065614834</x:v>
      </x:c>
      <x:c r="C75" s="16" t="n">
        <x:v>0.3409259499749169</x:v>
      </x:c>
      <x:c r="D75" s="10" t="n">
        <x:v>1</x:v>
      </x:c>
      <x:c r="E75" s="11" t="n">
        <x:f>IF(B75&lt;=$B$7,-LN(C75)/$B$8,-LN(C75)/$B$9)</x:f>
        <x:v>4.588585940115007</x:v>
      </x:c>
      <x:c r="F75" s="13"/>
      <x:c r="G75" s="13"/>
      <x:c r="H75" s="13"/>
      <x:c r="I75" s="13"/>
      <x:c r="J75" s="13"/>
      <x:c r="K75" s="13"/>
      <x:c r="L75" s="13"/>
      <x:c r="M75" s="13"/>
      <x:c r="N75" s="13"/>
      <x:c r="O75" s="13"/>
    </x:row>
    <x:row r="76">
      <x:c r="A76" s="10" t="n">
        <x:v>65</x:v>
      </x:c>
      <x:c r="B76" s="16" t="n">
        <x:v>0.002756195259280503</x:v>
      </x:c>
      <x:c r="C76" s="16" t="n">
        <x:v>0.9917881506262347</x:v>
      </x:c>
      <x:c r="D76" s="10" t="n">
        <x:v>1</x:v>
      </x:c>
      <x:c r="E76" s="11" t="n">
        <x:f>IF(B76&lt;=$B$7,-LN(C76)/$B$8,-LN(C76)/$B$9)</x:f>
        <x:v>0.035160947440133844</x:v>
      </x:c>
      <x:c r="F76" s="13"/>
      <x:c r="G76" s="13"/>
      <x:c r="H76" s="13"/>
      <x:c r="I76" s="13"/>
      <x:c r="J76" s="13"/>
      <x:c r="K76" s="13"/>
      <x:c r="L76" s="13"/>
      <x:c r="M76" s="13"/>
      <x:c r="N76" s="13"/>
      <x:c r="O76" s="13"/>
    </x:row>
    <x:row r="77">
      <x:c r="A77" s="10" t="n">
        <x:v>66</x:v>
      </x:c>
      <x:c r="B77" s="16" t="n">
        <x:v>0.40729533007834107</x:v>
      </x:c>
      <x:c r="C77" s="16" t="n">
        <x:v>0.4951728474115953</x:v>
      </x:c>
      <x:c r="D77" s="10" t="n">
        <x:v>1</x:v>
      </x:c>
      <x:c r="E77" s="11" t="n">
        <x:f>IF(B77&lt;=$B$7,-LN(C77)/$B$8,-LN(C77)/$B$9)</x:f>
        <x:v>2.997035843738768</x:v>
      </x:c>
      <x:c r="F77" s="13"/>
      <x:c r="G77" s="13"/>
      <x:c r="H77" s="13"/>
      <x:c r="I77" s="13"/>
      <x:c r="J77" s="13"/>
      <x:c r="K77" s="13"/>
      <x:c r="L77" s="13"/>
      <x:c r="M77" s="13"/>
      <x:c r="N77" s="13"/>
      <x:c r="O77" s="13"/>
    </x:row>
    <x:row r="78">
      <x:c r="A78" s="10" t="n">
        <x:v>67</x:v>
      </x:c>
      <x:c r="B78" s="16" t="n">
        <x:v>0.8197119823889807</x:v>
      </x:c>
      <x:c r="C78" s="16" t="n">
        <x:v>0.3233602148247883</x:v>
      </x:c>
      <x:c r="D78" s="10" t="n">
        <x:v>1</x:v>
      </x:c>
      <x:c r="E78" s="11" t="n">
        <x:f>IF(B78&lt;=$B$7,-LN(C78)/$B$8,-LN(C78)/$B$9)</x:f>
        <x:v>4.814151429952072</x:v>
      </x:c>
      <x:c r="F78" s="13"/>
      <x:c r="G78" s="13"/>
      <x:c r="H78" s="13"/>
      <x:c r="I78" s="13"/>
      <x:c r="J78" s="13"/>
      <x:c r="K78" s="13"/>
      <x:c r="L78" s="13"/>
      <x:c r="M78" s="13"/>
      <x:c r="N78" s="13"/>
      <x:c r="O78" s="13"/>
    </x:row>
    <x:row r="79">
      <x:c r="A79" s="10" t="n">
        <x:v>68</x:v>
      </x:c>
      <x:c r="B79" s="16" t="n">
        <x:v>0.3974554274464026</x:v>
      </x:c>
      <x:c r="C79" s="16" t="n">
        <x:v>0.7312444200506434</x:v>
      </x:c>
      <x:c r="D79" s="10" t="n">
        <x:v>1</x:v>
      </x:c>
      <x:c r="E79" s="11" t="n">
        <x:f>IF(B79&lt;=$B$7,-LN(C79)/$B$8,-LN(C79)/$B$9)</x:f>
        <x:v>1.3347042445679296</x:v>
      </x:c>
      <x:c r="F79" s="13"/>
      <x:c r="G79" s="13"/>
      <x:c r="H79" s="13"/>
      <x:c r="I79" s="13"/>
      <x:c r="J79" s="13"/>
      <x:c r="K79" s="13"/>
      <x:c r="L79" s="13"/>
      <x:c r="M79" s="13"/>
      <x:c r="N79" s="13"/>
      <x:c r="O79" s="13"/>
    </x:row>
    <x:row r="80">
      <x:c r="A80" s="10" t="n">
        <x:v>69</x:v>
      </x:c>
      <x:c r="B80" s="16" t="n">
        <x:v>0.8541589939268306</x:v>
      </x:c>
      <x:c r="C80" s="16" t="n">
        <x:v>0.23524025443475693</x:v>
      </x:c>
      <x:c r="D80" s="10" t="n">
        <x:v>1</x:v>
      </x:c>
      <x:c r="E80" s="11" t="n">
        <x:f>IF(B80&lt;=$B$7,-LN(C80)/$B$8,-LN(C80)/$B$9)</x:f>
        <x:v>6.170824701793845</x:v>
      </x:c>
      <x:c r="F80" s="13"/>
      <x:c r="G80" s="13"/>
      <x:c r="H80" s="13"/>
      <x:c r="I80" s="13"/>
      <x:c r="J80" s="13"/>
      <x:c r="K80" s="13"/>
      <x:c r="L80" s="13"/>
      <x:c r="M80" s="13"/>
      <x:c r="N80" s="13"/>
      <x:c r="O80" s="13"/>
    </x:row>
    <x:row r="81">
      <x:c r="A81" s="10" t="n">
        <x:v>70</x:v>
      </x:c>
      <x:c r="B81" s="16" t="n">
        <x:v>0.5203872105339542</x:v>
      </x:c>
      <x:c r="C81" s="16" t="n">
        <x:v>0.7574882268672809</x:v>
      </x:c>
      <x:c r="D81" s="10" t="n">
        <x:v>1</x:v>
      </x:c>
      <x:c r="E81" s="11" t="n">
        <x:f>IF(B81&lt;=$B$7,-LN(C81)/$B$8,-LN(C81)/$B$9)</x:f>
        <x:v>1.1843501046886997</x:v>
      </x:c>
      <x:c r="F81" s="13"/>
      <x:c r="G81" s="13"/>
      <x:c r="H81" s="13"/>
      <x:c r="I81" s="13"/>
      <x:c r="J81" s="13"/>
      <x:c r="K81" s="13"/>
      <x:c r="L81" s="13"/>
      <x:c r="M81" s="13"/>
      <x:c r="N81" s="13"/>
      <x:c r="O81" s="13"/>
    </x:row>
    <x:row r="82">
      <x:c r="A82" s="10" t="n">
        <x:v>71</x:v>
      </x:c>
      <x:c r="B82" s="16" t="n">
        <x:v>0.32670045748818666</x:v>
      </x:c>
      <x:c r="C82" s="16" t="n">
        <x:v>0.3148747206432745</x:v>
      </x:c>
      <x:c r="D82" s="10" t="n">
        <x:v>1</x:v>
      </x:c>
      <x:c r="E82" s="11" t="n">
        <x:f>IF(B82&lt;=$B$7,-LN(C82)/$B$8,-LN(C82)/$B$9)</x:f>
        <x:v>4.927543435404313</x:v>
      </x:c>
      <x:c r="F82" s="13"/>
      <x:c r="G82" s="13"/>
      <x:c r="H82" s="13"/>
      <x:c r="I82" s="13"/>
      <x:c r="J82" s="13"/>
      <x:c r="K82" s="13"/>
      <x:c r="L82" s="13"/>
      <x:c r="M82" s="13"/>
      <x:c r="N82" s="13"/>
      <x:c r="O82" s="13"/>
    </x:row>
    <x:row r="83">
      <x:c r="A83" s="10" t="n">
        <x:v>72</x:v>
      </x:c>
      <x:c r="B83" s="16" t="n">
        <x:v>0.0802529432112351</x:v>
      </x:c>
      <x:c r="C83" s="16" t="n">
        <x:v>0.2661728778621182</x:v>
      </x:c>
      <x:c r="D83" s="10" t="n">
        <x:v>1</x:v>
      </x:c>
      <x:c r="E83" s="11" t="n">
        <x:f>IF(B83&lt;=$B$7,-LN(C83)/$B$8,-LN(C83)/$B$9)</x:f>
        <x:v>5.644039968694115</x:v>
      </x:c>
      <x:c r="F83" s="13"/>
      <x:c r="G83" s="13"/>
      <x:c r="H83" s="13"/>
      <x:c r="I83" s="13"/>
      <x:c r="J83" s="13"/>
      <x:c r="K83" s="13"/>
      <x:c r="L83" s="13"/>
      <x:c r="M83" s="13"/>
      <x:c r="N83" s="13"/>
      <x:c r="O83" s="13"/>
    </x:row>
    <x:row r="84">
      <x:c r="A84" s="10" t="n">
        <x:v>73</x:v>
      </x:c>
      <x:c r="B84" s="16" t="n">
        <x:v>0.6453976390184835</x:v>
      </x:c>
      <x:c r="C84" s="16" t="n">
        <x:v>0.7409614379284903</x:v>
      </x:c>
      <x:c r="D84" s="10" t="n">
        <x:v>1</x:v>
      </x:c>
      <x:c r="E84" s="11" t="n">
        <x:f>IF(B84&lt;=$B$7,-LN(C84)/$B$8,-LN(C84)/$B$9)</x:f>
        <x:v>1.2784142709794282</x:v>
      </x:c>
      <x:c r="F84" s="13"/>
      <x:c r="G84" s="13"/>
      <x:c r="H84" s="13"/>
      <x:c r="I84" s="13"/>
      <x:c r="J84" s="13"/>
      <x:c r="K84" s="13"/>
      <x:c r="L84" s="13"/>
      <x:c r="M84" s="13"/>
      <x:c r="N84" s="13"/>
      <x:c r="O84" s="13"/>
    </x:row>
    <x:row r="85">
      <x:c r="A85" s="10" t="n">
        <x:v>74</x:v>
      </x:c>
      <x:c r="B85" s="16" t="n">
        <x:v>0.0733421171316877</x:v>
      </x:c>
      <x:c r="C85" s="16" t="n">
        <x:v>0.023392819217406213</x:v>
      </x:c>
      <x:c r="D85" s="10" t="n">
        <x:v>1</x:v>
      </x:c>
      <x:c r="E85" s="11" t="n">
        <x:f>IF(B85&lt;=$B$7,-LN(C85)/$B$8,-LN(C85)/$B$9)</x:f>
        <x:v>16.01319331455243</x:v>
      </x:c>
      <x:c r="F85" s="13"/>
      <x:c r="G85" s="13"/>
      <x:c r="H85" s="13"/>
      <x:c r="I85" s="13"/>
      <x:c r="J85" s="13"/>
      <x:c r="K85" s="13"/>
      <x:c r="L85" s="13"/>
      <x:c r="M85" s="13"/>
      <x:c r="N85" s="13"/>
      <x:c r="O85" s="13"/>
    </x:row>
    <x:row r="86">
      <x:c r="A86" s="10" t="n">
        <x:v>75</x:v>
      </x:c>
      <x:c r="B86" s="16" t="n">
        <x:v>0.1682820498244837</x:v>
      </x:c>
      <x:c r="C86" s="16" t="n">
        <x:v>0.9148582954658195</x:v>
      </x:c>
      <x:c r="D86" s="10" t="n">
        <x:v>1</x:v>
      </x:c>
      <x:c r="E86" s="11" t="n">
        <x:f>IF(B86&lt;=$B$7,-LN(C86)/$B$8,-LN(C86)/$B$9)</x:f>
        <x:v>0.37944813843292735</x:v>
      </x:c>
      <x:c r="F86" s="13"/>
      <x:c r="G86" s="13"/>
      <x:c r="H86" s="13"/>
      <x:c r="I86" s="13"/>
      <x:c r="J86" s="13"/>
      <x:c r="K86" s="13"/>
      <x:c r="L86" s="13"/>
      <x:c r="M86" s="13"/>
      <x:c r="N86" s="13"/>
      <x:c r="O86" s="13"/>
    </x:row>
    <x:row r="87">
      <x:c r="A87" s="10" t="n">
        <x:v>76</x:v>
      </x:c>
      <x:c r="B87" s="16" t="n">
        <x:v>0.7401344400132075</x:v>
      </x:c>
      <x:c r="C87" s="16" t="n">
        <x:v>0.5146371809532866</x:v>
      </x:c>
      <x:c r="D87" s="10" t="n">
        <x:v>1</x:v>
      </x:c>
      <x:c r="E87" s="11" t="n">
        <x:f>IF(B87&lt;=$B$7,-LN(C87)/$B$8,-LN(C87)/$B$9)</x:f>
        <x:v>2.832631256722071</x:v>
      </x:c>
      <x:c r="F87" s="13"/>
      <x:c r="G87" s="13"/>
      <x:c r="H87" s="13"/>
      <x:c r="I87" s="13"/>
      <x:c r="J87" s="13"/>
      <x:c r="K87" s="13"/>
      <x:c r="L87" s="13"/>
      <x:c r="M87" s="13"/>
      <x:c r="N87" s="13"/>
      <x:c r="O87" s="13"/>
    </x:row>
    <x:row r="88">
      <x:c r="A88" s="10" t="n">
        <x:v>77</x:v>
      </x:c>
      <x:c r="B88" s="16" t="n">
        <x:v>0.6895004661055282</x:v>
      </x:c>
      <x:c r="C88" s="16" t="n">
        <x:v>0.9992185010341927</x:v>
      </x:c>
      <x:c r="D88" s="10" t="n">
        <x:v>1</x:v>
      </x:c>
      <x:c r="E88" s="11" t="n">
        <x:f>IF(B88&lt;=$B$7,-LN(C88)/$B$8,-LN(C88)/$B$9)</x:f>
        <x:v>0.0033337148186476564</x:v>
      </x:c>
      <x:c r="F88" s="13"/>
      <x:c r="G88" s="13"/>
      <x:c r="H88" s="13"/>
      <x:c r="I88" s="13"/>
      <x:c r="J88" s="13"/>
      <x:c r="K88" s="13"/>
      <x:c r="L88" s="13"/>
      <x:c r="M88" s="13"/>
      <x:c r="N88" s="13"/>
      <x:c r="O88" s="13"/>
    </x:row>
    <x:row r="89">
      <x:c r="A89" s="10" t="n">
        <x:v>78</x:v>
      </x:c>
      <x:c r="B89" s="16" t="n">
        <x:v>0.4113081364193931</x:v>
      </x:c>
      <x:c r="C89" s="16" t="n">
        <x:v>0.9116476870840415</x:v>
      </x:c>
      <x:c r="D89" s="10" t="n">
        <x:v>1</x:v>
      </x:c>
      <x:c r="E89" s="11" t="n">
        <x:f>IF(B89&lt;=$B$7,-LN(C89)/$B$8,-LN(C89)/$B$9)</x:f>
        <x:v>0.3944390126901184</x:v>
      </x:c>
      <x:c r="F89" s="13"/>
      <x:c r="G89" s="13"/>
      <x:c r="H89" s="13"/>
      <x:c r="I89" s="13"/>
      <x:c r="J89" s="13"/>
      <x:c r="K89" s="13"/>
      <x:c r="L89" s="13"/>
      <x:c r="M89" s="13"/>
      <x:c r="N89" s="13"/>
      <x:c r="O89" s="13"/>
    </x:row>
    <x:row r="90">
      <x:c r="A90" s="10" t="n">
        <x:v>79</x:v>
      </x:c>
      <x:c r="B90" s="16" t="n">
        <x:v>0.6022177609847859</x:v>
      </x:c>
      <x:c r="C90" s="16" t="n">
        <x:v>0.7544773974223062</x:v>
      </x:c>
      <x:c r="D90" s="10" t="n">
        <x:v>1</x:v>
      </x:c>
      <x:c r="E90" s="11" t="n">
        <x:f>IF(B90&lt;=$B$7,-LN(C90)/$B$8,-LN(C90)/$B$9)</x:f>
        <x:v>1.2013327402268068</x:v>
      </x:c>
      <x:c r="F90" s="13"/>
      <x:c r="G90" s="13"/>
      <x:c r="H90" s="13"/>
      <x:c r="I90" s="13"/>
      <x:c r="J90" s="13"/>
      <x:c r="K90" s="13"/>
      <x:c r="L90" s="13"/>
      <x:c r="M90" s="13"/>
      <x:c r="N90" s="13"/>
      <x:c r="O90" s="13"/>
    </x:row>
    <x:row r="91">
      <x:c r="A91" s="10" t="n">
        <x:v>80</x:v>
      </x:c>
      <x:c r="B91" s="16" t="n">
        <x:v>0.7258185610407963</x:v>
      </x:c>
      <x:c r="C91" s="16" t="n">
        <x:v>0.3761906282743439</x:v>
      </x:c>
      <x:c r="D91" s="10" t="n">
        <x:v>1</x:v>
      </x:c>
      <x:c r="E91" s="11" t="n">
        <x:f>IF(B91&lt;=$B$7,-LN(C91)/$B$8,-LN(C91)/$B$9)</x:f>
        <x:v>4.168864759381816</x:v>
      </x:c>
      <x:c r="F91" s="13"/>
      <x:c r="G91" s="13"/>
      <x:c r="H91" s="13"/>
      <x:c r="I91" s="13"/>
      <x:c r="J91" s="13"/>
      <x:c r="K91" s="13"/>
      <x:c r="L91" s="13"/>
      <x:c r="M91" s="13"/>
      <x:c r="N91" s="13"/>
      <x:c r="O91" s="13"/>
    </x:row>
    <x:row r="92">
      <x:c r="A92" s="10" t="n">
        <x:v>81</x:v>
      </x:c>
      <x:c r="B92" s="16" t="n">
        <x:v>0.9414025490405038</x:v>
      </x:c>
      <x:c r="C92" s="16" t="n">
        <x:v>0.31381584133487195</x:v>
      </x:c>
      <x:c r="D92" s="10" t="n">
        <x:v>2</x:v>
      </x:c>
      <x:c r="E92" s="11" t="n">
        <x:f>IF(B92&lt;=$B$7,-LN(C92)/$B$8,-LN(C92)/$B$9)</x:f>
        <x:v>78.10762994676445</x:v>
      </x:c>
      <x:c r="F92" s="13"/>
      <x:c r="G92" s="13"/>
      <x:c r="H92" s="13"/>
      <x:c r="I92" s="13"/>
      <x:c r="J92" s="13"/>
      <x:c r="K92" s="13"/>
      <x:c r="L92" s="13"/>
      <x:c r="M92" s="13"/>
      <x:c r="N92" s="13"/>
      <x:c r="O92" s="13"/>
    </x:row>
    <x:row r="93">
      <x:c r="A93" s="10" t="n">
        <x:v>82</x:v>
      </x:c>
      <x:c r="B93" s="16" t="n">
        <x:v>0.549172124476172</x:v>
      </x:c>
      <x:c r="C93" s="16" t="n">
        <x:v>0.9663678969955072</x:v>
      </x:c>
      <x:c r="D93" s="10" t="n">
        <x:v>1</x:v>
      </x:c>
      <x:c r="E93" s="11" t="n">
        <x:f>IF(B93&lt;=$B$7,-LN(C93)/$B$8,-LN(C93)/$B$9)</x:f>
        <x:v>0.14587869894828634</x:v>
      </x:c>
      <x:c r="F93" s="13"/>
      <x:c r="G93" s="13"/>
      <x:c r="H93" s="13"/>
      <x:c r="I93" s="13"/>
      <x:c r="J93" s="13"/>
      <x:c r="K93" s="13"/>
      <x:c r="L93" s="13"/>
      <x:c r="M93" s="13"/>
      <x:c r="N93" s="13"/>
      <x:c r="O93" s="13"/>
    </x:row>
    <x:row r="94">
      <x:c r="A94" s="10" t="n">
        <x:v>83</x:v>
      </x:c>
      <x:c r="B94" s="16" t="n">
        <x:v>0.7596206433372572</x:v>
      </x:c>
      <x:c r="C94" s="16" t="n">
        <x:v>0.7872251447988674</x:v>
      </x:c>
      <x:c r="D94" s="10" t="n">
        <x:v>1</x:v>
      </x:c>
      <x:c r="E94" s="11" t="n">
        <x:f>IF(B94&lt;=$B$7,-LN(C94)/$B$8,-LN(C94)/$B$9)</x:f>
        <x:v>1.02015432755792</x:v>
      </x:c>
      <x:c r="F94" s="13"/>
      <x:c r="G94" s="13"/>
      <x:c r="H94" s="13"/>
      <x:c r="I94" s="13"/>
      <x:c r="J94" s="13"/>
      <x:c r="K94" s="13"/>
      <x:c r="L94" s="13"/>
      <x:c r="M94" s="13"/>
      <x:c r="N94" s="13"/>
      <x:c r="O94" s="13"/>
    </x:row>
    <x:row r="95">
      <x:c r="A95" s="10" t="n">
        <x:v>84</x:v>
      </x:c>
      <x:c r="B95" s="16" t="n">
        <x:v>0.1700205315137282</x:v>
      </x:c>
      <x:c r="C95" s="16" t="n">
        <x:v>0.6610920851817355</x:v>
      </x:c>
      <x:c r="D95" s="10" t="n">
        <x:v>1</x:v>
      </x:c>
      <x:c r="E95" s="11" t="n">
        <x:f>IF(B95&lt;=$B$7,-LN(C95)/$B$8,-LN(C95)/$B$9)</x:f>
        <x:v>1.7647613271094778</x:v>
      </x:c>
      <x:c r="F95" s="13"/>
      <x:c r="G95" s="13"/>
      <x:c r="H95" s="13"/>
      <x:c r="I95" s="13"/>
      <x:c r="J95" s="13"/>
      <x:c r="K95" s="13"/>
      <x:c r="L95" s="13"/>
      <x:c r="M95" s="13"/>
      <x:c r="N95" s="13"/>
      <x:c r="O95" s="13"/>
    </x:row>
    <x:row r="96">
      <x:c r="A96" s="10" t="n">
        <x:v>85</x:v>
      </x:c>
      <x:c r="B96" s="16" t="n">
        <x:v>0.5389613249571994</x:v>
      </x:c>
      <x:c r="C96" s="16" t="n">
        <x:v>0.8352985790697858</x:v>
      </x:c>
      <x:c r="D96" s="10" t="n">
        <x:v>1</x:v>
      </x:c>
      <x:c r="E96" s="11" t="n">
        <x:f>IF(B96&lt;=$B$7,-LN(C96)/$B$8,-LN(C96)/$B$9)</x:f>
        <x:v>0.7673983104563501</x:v>
      </x:c>
      <x:c r="F96" s="13"/>
      <x:c r="G96" s="13"/>
      <x:c r="H96" s="13"/>
      <x:c r="I96" s="13"/>
      <x:c r="J96" s="13"/>
      <x:c r="K96" s="13"/>
      <x:c r="L96" s="13"/>
      <x:c r="M96" s="13"/>
      <x:c r="N96" s="13"/>
      <x:c r="O96" s="13"/>
    </x:row>
    <x:row r="97">
      <x:c r="A97" s="10" t="n">
        <x:v>86</x:v>
      </x:c>
      <x:c r="B97" s="16" t="n">
        <x:v>0.603200331912376</x:v>
      </x:c>
      <x:c r="C97" s="16" t="n">
        <x:v>0.26835064438637346</x:v>
      </x:c>
      <x:c r="D97" s="10" t="n">
        <x:v>1</x:v>
      </x:c>
      <x:c r="E97" s="11" t="n">
        <x:f>IF(B97&lt;=$B$7,-LN(C97)/$B$8,-LN(C97)/$B$9)</x:f>
        <x:v>5.609293779735669</x:v>
      </x:c>
      <x:c r="F97" s="13"/>
      <x:c r="G97" s="13"/>
      <x:c r="H97" s="13"/>
      <x:c r="I97" s="13"/>
      <x:c r="J97" s="13"/>
      <x:c r="K97" s="13"/>
      <x:c r="L97" s="13"/>
      <x:c r="M97" s="13"/>
      <x:c r="N97" s="13"/>
      <x:c r="O97" s="13"/>
    </x:row>
    <x:row r="98">
      <x:c r="A98" s="10" t="n">
        <x:v>87</x:v>
      </x:c>
      <x:c r="B98" s="16" t="n">
        <x:v>0.5922214250313118</x:v>
      </x:c>
      <x:c r="C98" s="16" t="n">
        <x:v>0.6033744410378858</x:v>
      </x:c>
      <x:c r="D98" s="10" t="n">
        <x:v>1</x:v>
      </x:c>
      <x:c r="E98" s="11" t="n">
        <x:f>IF(B98&lt;=$B$7,-LN(C98)/$B$8,-LN(C98)/$B$9)</x:f>
        <x:v>2.15431152893835</x:v>
      </x:c>
      <x:c r="F98" s="13"/>
      <x:c r="G98" s="13"/>
      <x:c r="H98" s="13"/>
      <x:c r="I98" s="13"/>
      <x:c r="J98" s="13"/>
      <x:c r="K98" s="13"/>
      <x:c r="L98" s="13"/>
      <x:c r="M98" s="13"/>
      <x:c r="N98" s="13"/>
      <x:c r="O98" s="13"/>
    </x:row>
    <x:row r="99">
      <x:c r="A99" s="10" t="n">
        <x:v>88</x:v>
      </x:c>
      <x:c r="B99" s="16" t="n">
        <x:v>0.07734278368297964</x:v>
      </x:c>
      <x:c r="C99" s="16" t="n">
        <x:v>0.23288410843815655</x:v>
      </x:c>
      <x:c r="D99" s="10" t="n">
        <x:v>1</x:v>
      </x:c>
      <x:c r="E99" s="11" t="n">
        <x:f>IF(B99&lt;=$B$7,-LN(C99)/$B$8,-LN(C99)/$B$9)</x:f>
        <x:v>6.213749167585412</x:v>
      </x:c>
      <x:c r="F99" s="13"/>
      <x:c r="G99" s="13"/>
      <x:c r="H99" s="13"/>
      <x:c r="I99" s="13"/>
      <x:c r="J99" s="13"/>
      <x:c r="K99" s="13"/>
      <x:c r="L99" s="13"/>
      <x:c r="M99" s="13"/>
      <x:c r="N99" s="13"/>
      <x:c r="O99" s="13"/>
    </x:row>
    <x:row r="100">
      <x:c r="A100" s="10" t="n">
        <x:v>89</x:v>
      </x:c>
      <x:c r="B100" s="16" t="n">
        <x:v>0.656472219270654</x:v>
      </x:c>
      <x:c r="C100" s="16" t="n">
        <x:v>0.656655682134442</x:v>
      </x:c>
      <x:c r="D100" s="10" t="n">
        <x:v>1</x:v>
      </x:c>
      <x:c r="E100" s="11" t="n">
        <x:f>IF(B100&lt;=$B$7,-LN(C100)/$B$8,-LN(C100)/$B$9)</x:f>
        <x:v>1.7934731406287732</x:v>
      </x:c>
      <x:c r="F100" s="13"/>
      <x:c r="G100" s="13"/>
      <x:c r="H100" s="13"/>
      <x:c r="I100" s="13"/>
      <x:c r="J100" s="13"/>
      <x:c r="K100" s="13"/>
      <x:c r="L100" s="13"/>
      <x:c r="M100" s="13"/>
      <x:c r="N100" s="13"/>
      <x:c r="O100" s="13"/>
    </x:row>
    <x:row r="101">
      <x:c r="A101" s="10" t="n">
        <x:v>90</x:v>
      </x:c>
      <x:c r="B101" s="16" t="n">
        <x:v>0.035179028869606555</x:v>
      </x:c>
      <x:c r="C101" s="16" t="n">
        <x:v>0.6089033785974607</x:v>
      </x:c>
      <x:c r="D101" s="10" t="n">
        <x:v>1</x:v>
      </x:c>
      <x:c r="E101" s="11" t="n">
        <x:f>IF(B101&lt;=$B$7,-LN(C101)/$B$8,-LN(C101)/$B$9)</x:f>
        <x:v>2.11541571936406</x:v>
      </x:c>
      <x:c r="F101" s="13"/>
      <x:c r="G101" s="13"/>
      <x:c r="H101" s="13"/>
      <x:c r="I101" s="13"/>
      <x:c r="J101" s="13"/>
      <x:c r="K101" s="13"/>
      <x:c r="L101" s="13"/>
      <x:c r="M101" s="13"/>
      <x:c r="N101" s="13"/>
      <x:c r="O101" s="13"/>
    </x:row>
    <x:row r="102">
      <x:c r="A102" s="10" t="n">
        <x:v>91</x:v>
      </x:c>
      <x:c r="B102" s="16" t="n">
        <x:v>0.13213413499761373</x:v>
      </x:c>
      <x:c r="C102" s="16" t="n">
        <x:v>0.8069310997379944</x:v>
      </x:c>
      <x:c r="D102" s="10" t="n">
        <x:v>1</x:v>
      </x:c>
      <x:c r="E102" s="11" t="n">
        <x:f>IF(B102&lt;=$B$7,-LN(C102)/$B$8,-LN(C102)/$B$9)</x:f>
        <x:v>0.914728018897833</x:v>
      </x:c>
      <x:c r="F102" s="13"/>
      <x:c r="G102" s="13"/>
      <x:c r="H102" s="13"/>
      <x:c r="I102" s="13"/>
      <x:c r="J102" s="13"/>
      <x:c r="K102" s="13"/>
      <x:c r="L102" s="13"/>
      <x:c r="M102" s="13"/>
      <x:c r="N102" s="13"/>
      <x:c r="O102" s="13"/>
    </x:row>
    <x:row r="103">
      <x:c r="A103" s="10" t="n">
        <x:v>92</x:v>
      </x:c>
      <x:c r="B103" s="16" t="n">
        <x:v>0.22466558183077723</x:v>
      </x:c>
      <x:c r="C103" s="16" t="n">
        <x:v>0.7134710712125525</x:v>
      </x:c>
      <x:c r="D103" s="10" t="n">
        <x:v>1</x:v>
      </x:c>
      <x:c r="E103" s="11" t="n">
        <x:f>IF(B103&lt;=$B$7,-LN(C103)/$B$8,-LN(C103)/$B$9)</x:f>
        <x:v>1.439626863993082</x:v>
      </x:c>
      <x:c r="F103" s="13"/>
      <x:c r="G103" s="13"/>
      <x:c r="H103" s="13"/>
      <x:c r="I103" s="13"/>
      <x:c r="J103" s="13"/>
      <x:c r="K103" s="13"/>
      <x:c r="L103" s="13"/>
      <x:c r="M103" s="13"/>
      <x:c r="N103" s="13"/>
      <x:c r="O103" s="13"/>
    </x:row>
    <x:row r="104">
      <x:c r="A104" s="10" t="n">
        <x:v>93</x:v>
      </x:c>
      <x:c r="B104" s="16" t="n">
        <x:v>0.6706842706771567</x:v>
      </x:c>
      <x:c r="C104" s="16" t="n">
        <x:v>0.9715230910805985</x:v>
      </x:c>
      <x:c r="D104" s="10" t="n">
        <x:v>1</x:v>
      </x:c>
      <x:c r="E104" s="11" t="n">
        <x:f>IF(B104&lt;=$B$7,-LN(C104)/$B$8,-LN(C104)/$B$9)</x:f>
        <x:v>0.12319170371798885</x:v>
      </x:c>
      <x:c r="F104" s="13"/>
      <x:c r="G104" s="13"/>
      <x:c r="H104" s="13"/>
      <x:c r="I104" s="13"/>
      <x:c r="J104" s="13"/>
      <x:c r="K104" s="13"/>
      <x:c r="L104" s="13"/>
      <x:c r="M104" s="13"/>
      <x:c r="N104" s="13"/>
      <x:c r="O104" s="13"/>
    </x:row>
    <x:row r="105">
      <x:c r="A105" s="10" t="n">
        <x:v>94</x:v>
      </x:c>
      <x:c r="B105" s="16" t="n">
        <x:v>0.7090551300207153</x:v>
      </x:c>
      <x:c r="C105" s="16" t="n">
        <x:v>0.22617192787583917</x:v>
      </x:c>
      <x:c r="D105" s="10" t="n">
        <x:v>1</x:v>
      </x:c>
      <x:c r="E105" s="11" t="n">
        <x:f>IF(B105&lt;=$B$7,-LN(C105)/$B$8,-LN(C105)/$B$9)</x:f>
        <x:v>6.338455687243668</x:v>
      </x:c>
      <x:c r="F105" s="13"/>
      <x:c r="G105" s="13"/>
      <x:c r="H105" s="13"/>
      <x:c r="I105" s="13"/>
      <x:c r="J105" s="13"/>
      <x:c r="K105" s="13"/>
      <x:c r="L105" s="13"/>
      <x:c r="M105" s="13"/>
      <x:c r="N105" s="13"/>
      <x:c r="O105" s="13"/>
    </x:row>
    <x:row r="106">
      <x:c r="A106" s="10" t="n">
        <x:v>95</x:v>
      </x:c>
      <x:c r="B106" s="16" t="n">
        <x:v>0.06412172794807702</x:v>
      </x:c>
      <x:c r="C106" s="16" t="n">
        <x:v>0.4550869696540758</x:v>
      </x:c>
      <x:c r="D106" s="10" t="n">
        <x:v>1</x:v>
      </x:c>
      <x:c r="E106" s="11" t="n">
        <x:f>IF(B106&lt;=$B$7,-LN(C106)/$B$8,-LN(C106)/$B$9)</x:f>
        <x:v>3.3570065155987834</x:v>
      </x:c>
      <x:c r="F106" s="13"/>
      <x:c r="G106" s="13"/>
      <x:c r="H106" s="13"/>
      <x:c r="I106" s="13"/>
      <x:c r="J106" s="13"/>
      <x:c r="K106" s="13"/>
      <x:c r="L106" s="13"/>
      <x:c r="M106" s="13"/>
      <x:c r="N106" s="13"/>
      <x:c r="O106" s="13"/>
    </x:row>
    <x:row r="107">
      <x:c r="A107" s="10" t="n">
        <x:v>96</x:v>
      </x:c>
      <x:c r="B107" s="16" t="n">
        <x:v>0.8740376472705975</x:v>
      </x:c>
      <x:c r="C107" s="16" t="n">
        <x:v>0.7506972880801186</x:v>
      </x:c>
      <x:c r="D107" s="10" t="n">
        <x:v>1</x:v>
      </x:c>
      <x:c r="E107" s="11" t="n">
        <x:f>IF(B107&lt;=$B$7,-LN(C107)/$B$8,-LN(C107)/$B$9)</x:f>
        <x:v>1.2227507270801523</x:v>
      </x:c>
      <x:c r="F107" s="13"/>
      <x:c r="G107" s="13"/>
      <x:c r="H107" s="13"/>
      <x:c r="I107" s="13"/>
      <x:c r="J107" s="13"/>
      <x:c r="K107" s="13"/>
      <x:c r="L107" s="13"/>
      <x:c r="M107" s="13"/>
      <x:c r="N107" s="13"/>
      <x:c r="O107" s="13"/>
    </x:row>
    <x:row r="108">
      <x:c r="A108" s="10" t="n">
        <x:v>97</x:v>
      </x:c>
      <x:c r="B108" s="16" t="n">
        <x:v>0.6393157561542466</x:v>
      </x:c>
      <x:c r="C108" s="16" t="n">
        <x:v>0.2948868441162631</x:v>
      </x:c>
      <x:c r="D108" s="10" t="n">
        <x:v>1</x:v>
      </x:c>
      <x:c r="E108" s="11" t="n">
        <x:f>IF(B108&lt;=$B$7,-LN(C108)/$B$8,-LN(C108)/$B$9)</x:f>
        <x:v>5.2071983878506</x:v>
      </x:c>
      <x:c r="F108" s="13"/>
      <x:c r="G108" s="13"/>
      <x:c r="H108" s="13"/>
      <x:c r="I108" s="13"/>
      <x:c r="J108" s="13"/>
      <x:c r="K108" s="13"/>
      <x:c r="L108" s="13"/>
      <x:c r="M108" s="13"/>
      <x:c r="N108" s="13"/>
      <x:c r="O108" s="13"/>
    </x:row>
    <x:row r="109">
      <x:c r="A109" s="10" t="n">
        <x:v>98</x:v>
      </x:c>
      <x:c r="B109" s="16" t="n">
        <x:v>0.7600768195698038</x:v>
      </x:c>
      <x:c r="C109" s="16" t="n">
        <x:v>0.10396862437482923</x:v>
      </x:c>
      <x:c r="D109" s="10" t="n">
        <x:v>1</x:v>
      </x:c>
      <x:c r="E109" s="11" t="n">
        <x:f>IF(B109&lt;=$B$7,-LN(C109)/$B$8,-LN(C109)/$B$9)</x:f>
        <x:v>9.652563158870299</x:v>
      </x:c>
      <x:c r="F109" s="13"/>
      <x:c r="G109" s="13"/>
      <x:c r="H109" s="13"/>
      <x:c r="I109" s="13"/>
      <x:c r="J109" s="13"/>
      <x:c r="K109" s="13"/>
      <x:c r="L109" s="13"/>
      <x:c r="M109" s="13"/>
      <x:c r="N109" s="13"/>
      <x:c r="O109" s="13"/>
    </x:row>
    <x:row r="110">
      <x:c r="A110" s="10" t="n">
        <x:v>99</x:v>
      </x:c>
      <x:c r="B110" s="16" t="n">
        <x:v>0.6103617093758658</x:v>
      </x:c>
      <x:c r="C110" s="16" t="n">
        <x:v>0.5601730596972629</x:v>
      </x:c>
      <x:c r="D110" s="10" t="n">
        <x:v>1</x:v>
      </x:c>
      <x:c r="E110" s="11" t="n">
        <x:f>IF(B110&lt;=$B$7,-LN(C110)/$B$8,-LN(C110)/$B$9)</x:f>
        <x:v>2.4711029999780303</x:v>
      </x:c>
      <x:c r="F110" s="13"/>
      <x:c r="G110" s="13"/>
      <x:c r="H110" s="13"/>
      <x:c r="I110" s="13"/>
      <x:c r="J110" s="13"/>
      <x:c r="K110" s="13"/>
      <x:c r="L110" s="13"/>
      <x:c r="M110" s="13"/>
      <x:c r="N110" s="13"/>
      <x:c r="O110" s="13"/>
    </x:row>
    <x:row r="111">
      <x:c r="A111" s="10" t="n">
        <x:v>100</x:v>
      </x:c>
      <x:c r="B111" s="16" t="n">
        <x:v>0.2980667833471671</x:v>
      </x:c>
      <x:c r="C111" s="16" t="n">
        <x:v>0.8484251400223002</x:v>
      </x:c>
      <x:c r="D111" s="10" t="n">
        <x:v>1</x:v>
      </x:c>
      <x:c r="E111" s="11" t="n">
        <x:f>IF(B111&lt;=$B$7,-LN(C111)/$B$8,-LN(C111)/$B$9)</x:f>
        <x:v>0.7009094014968967</x:v>
      </x:c>
      <x:c r="F111" s="13"/>
      <x:c r="G111" s="13"/>
      <x:c r="H111" s="13"/>
      <x:c r="I111" s="13"/>
      <x:c r="J111" s="13"/>
      <x:c r="K111" s="13"/>
      <x:c r="L111" s="13"/>
      <x:c r="M111" s="13"/>
      <x:c r="N111" s="13"/>
      <x:c r="O111" s="13"/>
    </x:row>
    <x:row r="112">
      <x:c r="A112" s="10" t="n">
        <x:v>101</x:v>
      </x:c>
      <x:c r="B112" s="16" t="n">
        <x:v>0.09206981596071273</x:v>
      </x:c>
      <x:c r="C112" s="16" t="n">
        <x:v>0.7462862021056935</x:v>
      </x:c>
      <x:c r="D112" s="10" t="n">
        <x:v>1</x:v>
      </x:c>
      <x:c r="E112" s="11" t="n">
        <x:f>IF(B112&lt;=$B$7,-LN(C112)/$B$8,-LN(C112)/$B$9)</x:f>
        <x:v>1.24788058578438</x:v>
      </x:c>
      <x:c r="F112" s="13"/>
      <x:c r="G112" s="13"/>
      <x:c r="H112" s="13"/>
      <x:c r="I112" s="13"/>
      <x:c r="J112" s="13"/>
      <x:c r="K112" s="13"/>
      <x:c r="L112" s="13"/>
      <x:c r="M112" s="13"/>
      <x:c r="N112" s="13"/>
      <x:c r="O112" s="13"/>
    </x:row>
    <x:row r="113">
      <x:c r="A113" s="10" t="n">
        <x:v>102</x:v>
      </x:c>
      <x:c r="B113" s="16" t="n">
        <x:v>0.27643417625222355</x:v>
      </x:c>
      <x:c r="C113" s="16" t="n">
        <x:v>0.8331004291540012</x:v>
      </x:c>
      <x:c r="D113" s="10" t="n">
        <x:v>1</x:v>
      </x:c>
      <x:c r="E113" s="11" t="n">
        <x:f>IF(B113&lt;=$B$7,-LN(C113)/$B$8,-LN(C113)/$B$9)</x:f>
        <x:v>0.7786344704502737</x:v>
      </x:c>
      <x:c r="F113" s="13"/>
      <x:c r="G113" s="13"/>
      <x:c r="H113" s="13"/>
      <x:c r="I113" s="13"/>
      <x:c r="J113" s="13"/>
      <x:c r="K113" s="13"/>
      <x:c r="L113" s="13"/>
      <x:c r="M113" s="13"/>
      <x:c r="N113" s="13"/>
      <x:c r="O113" s="13"/>
    </x:row>
    <x:row r="114">
      <x:c r="A114" s="10" t="n">
        <x:v>103</x:v>
      </x:c>
      <x:c r="B114" s="16" t="n">
        <x:v>0.727711760555394</x:v>
      </x:c>
      <x:c r="C114" s="16" t="n">
        <x:v>0.6541126639349386</x:v>
      </x:c>
      <x:c r="D114" s="10" t="n">
        <x:v>1</x:v>
      </x:c>
      <x:c r="E114" s="11" t="n">
        <x:f>IF(B114&lt;=$B$7,-LN(C114)/$B$8,-LN(C114)/$B$9)</x:f>
        <x:v>1.8100188101693655</x:v>
      </x:c>
      <x:c r="F114" s="13"/>
      <x:c r="G114" s="13"/>
      <x:c r="H114" s="13"/>
      <x:c r="I114" s="13"/>
      <x:c r="J114" s="13"/>
      <x:c r="K114" s="13"/>
      <x:c r="L114" s="13"/>
      <x:c r="M114" s="13"/>
      <x:c r="N114" s="13"/>
      <x:c r="O114" s="13"/>
    </x:row>
    <x:row r="115">
      <x:c r="A115" s="10" t="n">
        <x:v>104</x:v>
      </x:c>
      <x:c r="B115" s="16" t="n">
        <x:v>0.11781050043646246</x:v>
      </x:c>
      <x:c r="C115" s="16" t="n">
        <x:v>0.7591131994267926</x:v>
      </x:c>
      <x:c r="D115" s="10" t="n">
        <x:v>1</x:v>
      </x:c>
      <x:c r="E115" s="11" t="n">
        <x:f>IF(B115&lt;=$B$7,-LN(C115)/$B$8,-LN(C115)/$B$9)</x:f>
        <x:v>1.1752124442450433</x:v>
      </x:c>
      <x:c r="F115" s="13"/>
      <x:c r="G115" s="13"/>
      <x:c r="H115" s="13"/>
      <x:c r="I115" s="13"/>
      <x:c r="J115" s="13"/>
      <x:c r="K115" s="13"/>
      <x:c r="L115" s="13"/>
      <x:c r="M115" s="13"/>
      <x:c r="N115" s="13"/>
      <x:c r="O115" s="13"/>
    </x:row>
    <x:row r="116">
      <x:c r="A116" s="10" t="n">
        <x:v>105</x:v>
      </x:c>
      <x:c r="B116" s="16" t="n">
        <x:v>0.13415007863659412</x:v>
      </x:c>
      <x:c r="C116" s="16" t="n">
        <x:v>0.39551677356939763</x:v>
      </x:c>
      <x:c r="D116" s="10" t="n">
        <x:v>1</x:v>
      </x:c>
      <x:c r="E116" s="11" t="n">
        <x:f>IF(B116&lt;=$B$7,-LN(C116)/$B$8,-LN(C116)/$B$9)</x:f>
        <x:v>3.9552438944291017</x:v>
      </x:c>
      <x:c r="F116" s="13"/>
      <x:c r="G116" s="13"/>
      <x:c r="H116" s="13"/>
      <x:c r="I116" s="13"/>
      <x:c r="J116" s="13"/>
      <x:c r="K116" s="13"/>
      <x:c r="L116" s="13"/>
      <x:c r="M116" s="13"/>
      <x:c r="N116" s="13"/>
      <x:c r="O116" s="13"/>
    </x:row>
    <x:row r="117">
      <x:c r="A117" s="10" t="n">
        <x:v>106</x:v>
      </x:c>
      <x:c r="B117" s="16" t="n">
        <x:v>0.7933997983345762</x:v>
      </x:c>
      <x:c r="C117" s="16" t="n">
        <x:v>0.03519705717917532</x:v>
      </x:c>
      <x:c r="D117" s="10" t="n">
        <x:v>1</x:v>
      </x:c>
      <x:c r="E117" s="11" t="n">
        <x:f>IF(B117&lt;=$B$7,-LN(C117)/$B$8,-LN(C117)/$B$9)</x:f>
        <x:v>14.271154525572722</x:v>
      </x:c>
      <x:c r="F117" s="13"/>
      <x:c r="G117" s="13"/>
      <x:c r="H117" s="13"/>
      <x:c r="I117" s="13"/>
      <x:c r="J117" s="13"/>
      <x:c r="K117" s="13"/>
      <x:c r="L117" s="13"/>
      <x:c r="M117" s="13"/>
      <x:c r="N117" s="13"/>
      <x:c r="O117" s="13"/>
    </x:row>
    <x:row r="118">
      <x:c r="A118" s="10" t="n">
        <x:v>107</x:v>
      </x:c>
      <x:c r="B118" s="16" t="n">
        <x:v>0.6174753635423258</x:v>
      </x:c>
      <x:c r="C118" s="16" t="n">
        <x:v>0.4153744865907356</x:v>
      </x:c>
      <x:c r="D118" s="10" t="n">
        <x:v>1</x:v>
      </x:c>
      <x:c r="E118" s="11" t="n">
        <x:f>IF(B118&lt;=$B$7,-LN(C118)/$B$8,-LN(C118)/$B$9)</x:f>
        <x:v>3.746355781619003</x:v>
      </x:c>
      <x:c r="F118" s="13"/>
      <x:c r="G118" s="13"/>
      <x:c r="H118" s="13"/>
      <x:c r="I118" s="13"/>
      <x:c r="J118" s="13"/>
      <x:c r="K118" s="13"/>
      <x:c r="L118" s="13"/>
      <x:c r="M118" s="13"/>
      <x:c r="N118" s="13"/>
      <x:c r="O118" s="13"/>
    </x:row>
    <x:row r="119">
      <x:c r="A119" s="10" t="n">
        <x:v>108</x:v>
      </x:c>
      <x:c r="B119" s="16" t="n">
        <x:v>0.45316664094571024</x:v>
      </x:c>
      <x:c r="C119" s="16" t="n">
        <x:v>0.43889435508754104</x:v>
      </x:c>
      <x:c r="D119" s="10" t="n">
        <x:v>1</x:v>
      </x:c>
      <x:c r="E119" s="11" t="n">
        <x:f>IF(B119&lt;=$B$7,-LN(C119)/$B$8,-LN(C119)/$B$9)</x:f>
        <x:v>3.511495070517852</x:v>
      </x:c>
      <x:c r="F119" s="13"/>
      <x:c r="G119" s="13"/>
      <x:c r="H119" s="13"/>
      <x:c r="I119" s="13"/>
      <x:c r="J119" s="13"/>
      <x:c r="K119" s="13"/>
      <x:c r="L119" s="13"/>
      <x:c r="M119" s="13"/>
      <x:c r="N119" s="13"/>
      <x:c r="O119" s="13"/>
    </x:row>
    <x:row r="120">
      <x:c r="A120" s="10" t="n">
        <x:v>109</x:v>
      </x:c>
      <x:c r="B120" s="16" t="n">
        <x:v>0.8622762860031798</x:v>
      </x:c>
      <x:c r="C120" s="16" t="n">
        <x:v>0.6708336396841332</x:v>
      </x:c>
      <x:c r="D120" s="10" t="n">
        <x:v>1</x:v>
      </x:c>
      <x:c r="E120" s="11" t="n">
        <x:f>IF(B120&lt;=$B$7,-LN(C120)/$B$8,-LN(C120)/$B$9)</x:f>
        <x:v>1.7023855054229453</x:v>
      </x:c>
      <x:c r="F120" s="13"/>
      <x:c r="G120" s="13"/>
      <x:c r="H120" s="13"/>
      <x:c r="I120" s="13"/>
      <x:c r="J120" s="13"/>
      <x:c r="K120" s="13"/>
      <x:c r="L120" s="13"/>
      <x:c r="M120" s="13"/>
      <x:c r="N120" s="13"/>
      <x:c r="O120" s="13"/>
    </x:row>
    <x:row r="121">
      <x:c r="A121" s="10" t="n">
        <x:v>110</x:v>
      </x:c>
      <x:c r="B121" s="16" t="n">
        <x:v>0.5999694286147133</x:v>
      </x:c>
      <x:c r="C121" s="16" t="n">
        <x:v>0.34903910232242197</x:v>
      </x:c>
      <x:c r="D121" s="10" t="n">
        <x:v>1</x:v>
      </x:c>
      <x:c r="E121" s="11" t="n">
        <x:f>IF(B121&lt;=$B$7,-LN(C121)/$B$8,-LN(C121)/$B$9)</x:f>
        <x:v>4.488299357346055</x:v>
      </x:c>
      <x:c r="F121" s="13"/>
      <x:c r="G121" s="13"/>
      <x:c r="H121" s="13"/>
      <x:c r="I121" s="13"/>
      <x:c r="J121" s="13"/>
      <x:c r="K121" s="13"/>
      <x:c r="L121" s="13"/>
      <x:c r="M121" s="13"/>
      <x:c r="N121" s="13"/>
      <x:c r="O121" s="13"/>
    </x:row>
    <x:row r="122">
      <x:c r="A122" s="10" t="n">
        <x:v>111</x:v>
      </x:c>
      <x:c r="B122" s="16" t="n">
        <x:v>0.5476674261735752</x:v>
      </x:c>
      <x:c r="C122" s="16" t="n">
        <x:v>0.35842576704453677</x:v>
      </x:c>
      <x:c r="D122" s="10" t="n">
        <x:v>1</x:v>
      </x:c>
      <x:c r="E122" s="11" t="n">
        <x:f>IF(B122&lt;=$B$7,-LN(C122)/$B$8,-LN(C122)/$B$9)</x:f>
        <x:v>4.3751395521367025</x:v>
      </x:c>
      <x:c r="F122" s="13"/>
      <x:c r="G122" s="13"/>
      <x:c r="H122" s="13"/>
      <x:c r="I122" s="13"/>
      <x:c r="J122" s="13"/>
      <x:c r="K122" s="13"/>
      <x:c r="L122" s="13"/>
      <x:c r="M122" s="13"/>
      <x:c r="N122" s="13"/>
      <x:c r="O122" s="13"/>
    </x:row>
    <x:row r="123">
      <x:c r="A123" s="10" t="n">
        <x:v>112</x:v>
      </x:c>
      <x:c r="B123" s="16" t="n">
        <x:v>0.885764004313387</x:v>
      </x:c>
      <x:c r="C123" s="16" t="n">
        <x:v>0.5651539372047409</x:v>
      </x:c>
      <x:c r="D123" s="10" t="n">
        <x:v>1</x:v>
      </x:c>
      <x:c r="E123" s="11" t="n">
        <x:f>IF(B123&lt;=$B$7,-LN(C123)/$B$8,-LN(C123)/$B$9)</x:f>
        <x:v>2.4333553223328446</x:v>
      </x:c>
      <x:c r="F123" s="13"/>
      <x:c r="G123" s="13"/>
      <x:c r="H123" s="13"/>
      <x:c r="I123" s="13"/>
      <x:c r="J123" s="13"/>
      <x:c r="K123" s="13"/>
      <x:c r="L123" s="13"/>
      <x:c r="M123" s="13"/>
      <x:c r="N123" s="13"/>
      <x:c r="O123" s="13"/>
    </x:row>
    <x:row r="124">
      <x:c r="A124" s="10" t="n">
        <x:v>113</x:v>
      </x:c>
      <x:c r="B124" s="16" t="n">
        <x:v>0.09319991816300899</x:v>
      </x:c>
      <x:c r="C124" s="16" t="n">
        <x:v>0.8296544792829081</x:v>
      </x:c>
      <x:c r="D124" s="10" t="n">
        <x:v>1</x:v>
      </x:c>
      <x:c r="E124" s="11" t="n">
        <x:f>IF(B124&lt;=$B$7,-LN(C124)/$B$8,-LN(C124)/$B$9)</x:f>
        <x:v>0.7963087457960638</x:v>
      </x:c>
      <x:c r="F124" s="13"/>
      <x:c r="G124" s="13"/>
      <x:c r="H124" s="13"/>
      <x:c r="I124" s="13"/>
      <x:c r="J124" s="13"/>
      <x:c r="K124" s="13"/>
      <x:c r="L124" s="13"/>
      <x:c r="M124" s="13"/>
      <x:c r="N124" s="13"/>
      <x:c r="O124" s="13"/>
    </x:row>
    <x:row r="125">
      <x:c r="A125" s="10" t="n">
        <x:v>114</x:v>
      </x:c>
      <x:c r="B125" s="16" t="n">
        <x:v>0.8580025794217363</x:v>
      </x:c>
      <x:c r="C125" s="16" t="n">
        <x:v>0.9793861623620614</x:v>
      </x:c>
      <x:c r="D125" s="10" t="n">
        <x:v>1</x:v>
      </x:c>
      <x:c r="E125" s="11" t="n">
        <x:f>IF(B125&lt;=$B$7,-LN(C125)/$B$8,-LN(C125)/$B$9)</x:f>
        <x:v>0.08881867715653013</x:v>
      </x:c>
      <x:c r="F125" s="13"/>
      <x:c r="G125" s="13"/>
      <x:c r="H125" s="13"/>
      <x:c r="I125" s="13"/>
      <x:c r="J125" s="13"/>
      <x:c r="K125" s="13"/>
      <x:c r="L125" s="13"/>
      <x:c r="M125" s="13"/>
      <x:c r="N125" s="13"/>
      <x:c r="O125" s="13"/>
    </x:row>
    <x:row r="126">
      <x:c r="A126" s="10" t="n">
        <x:v>115</x:v>
      </x:c>
      <x:c r="B126" s="16" t="n">
        <x:v>0.9877799070673063</x:v>
      </x:c>
      <x:c r="C126" s="16" t="n">
        <x:v>0.5856854048324749</x:v>
      </x:c>
      <x:c r="D126" s="10" t="n">
        <x:v>2</x:v>
      </x:c>
      <x:c r="E126" s="11" t="n">
        <x:f>IF(B126&lt;=$B$7,-LN(C126)/$B$8,-LN(C126)/$B$9)</x:f>
        <x:v>36.05459295052873</x:v>
      </x:c>
      <x:c r="F126" s="13"/>
      <x:c r="G126" s="13"/>
      <x:c r="H126" s="13"/>
      <x:c r="I126" s="13"/>
      <x:c r="J126" s="13"/>
      <x:c r="K126" s="13"/>
      <x:c r="L126" s="13"/>
      <x:c r="M126" s="13"/>
      <x:c r="N126" s="13"/>
      <x:c r="O126" s="13"/>
    </x:row>
    <x:row r="127">
      <x:c r="A127" s="10" t="n">
        <x:v>116</x:v>
      </x:c>
      <x:c r="B127" s="16" t="n">
        <x:v>0.23435297200921923</x:v>
      </x:c>
      <x:c r="C127" s="16" t="n">
        <x:v>0.6166078423848376</x:v>
      </x:c>
      <x:c r="D127" s="10" t="n">
        <x:v>1</x:v>
      </x:c>
      <x:c r="E127" s="11" t="n">
        <x:f>IF(B127&lt;=$B$7,-LN(C127)/$B$8,-LN(C127)/$B$9)</x:f>
        <x:v>2.0618001248852122</x:v>
      </x:c>
      <x:c r="F127" s="13"/>
      <x:c r="G127" s="13"/>
      <x:c r="H127" s="13"/>
      <x:c r="I127" s="13"/>
      <x:c r="J127" s="13"/>
      <x:c r="K127" s="13"/>
      <x:c r="L127" s="13"/>
      <x:c r="M127" s="13"/>
      <x:c r="N127" s="13"/>
      <x:c r="O127" s="13"/>
    </x:row>
    <x:row r="128">
      <x:c r="A128" s="10" t="n">
        <x:v>117</x:v>
      </x:c>
      <x:c r="B128" s="16" t="n">
        <x:v>0.4047198184998706</x:v>
      </x:c>
      <x:c r="C128" s="16" t="n">
        <x:v>0.49176269385498017</x:v>
      </x:c>
      <x:c r="D128" s="10" t="n">
        <x:v>1</x:v>
      </x:c>
      <x:c r="E128" s="11" t="n">
        <x:f>IF(B128&lt;=$B$7,-LN(C128)/$B$8,-LN(C128)/$B$9)</x:f>
        <x:v>3.0265036056815093</x:v>
      </x:c>
      <x:c r="F128" s="13"/>
      <x:c r="G128" s="13"/>
      <x:c r="H128" s="13"/>
      <x:c r="I128" s="13"/>
      <x:c r="J128" s="13"/>
      <x:c r="K128" s="13"/>
      <x:c r="L128" s="13"/>
      <x:c r="M128" s="13"/>
      <x:c r="N128" s="13"/>
      <x:c r="O128" s="13"/>
    </x:row>
    <x:row r="129">
      <x:c r="A129" s="10" t="n">
        <x:v>118</x:v>
      </x:c>
      <x:c r="B129" s="16" t="n">
        <x:v>0.5338631576159969</x:v>
      </x:c>
      <x:c r="C129" s="16" t="n">
        <x:v>0.808304963982664</x:v>
      </x:c>
      <x:c r="D129" s="10" t="n">
        <x:v>1</x:v>
      </x:c>
      <x:c r="E129" s="11" t="n">
        <x:f>IF(B129&lt;=$B$7,-LN(C129)/$B$8,-LN(C129)/$B$9)</x:f>
        <x:v>0.9074741750722838</x:v>
      </x:c>
      <x:c r="F129" s="13"/>
      <x:c r="G129" s="13"/>
      <x:c r="H129" s="13"/>
      <x:c r="I129" s="13"/>
      <x:c r="J129" s="13"/>
      <x:c r="K129" s="13"/>
      <x:c r="L129" s="13"/>
      <x:c r="M129" s="13"/>
      <x:c r="N129" s="13"/>
      <x:c r="O129" s="13"/>
    </x:row>
    <x:row r="130">
      <x:c r="A130" s="10" t="n">
        <x:v>119</x:v>
      </x:c>
      <x:c r="B130" s="16" t="n">
        <x:v>0.05604744062293321</x:v>
      </x:c>
      <x:c r="C130" s="16" t="n">
        <x:v>0.6019770846469328</x:v>
      </x:c>
      <x:c r="D130" s="10" t="n">
        <x:v>1</x:v>
      </x:c>
      <x:c r="E130" s="11" t="n">
        <x:f>IF(B130&lt;=$B$7,-LN(C130)/$B$8,-LN(C130)/$B$9)</x:f>
        <x:v>2.164198287669847</x:v>
      </x:c>
      <x:c r="F130" s="13"/>
      <x:c r="G130" s="13"/>
      <x:c r="H130" s="13"/>
      <x:c r="I130" s="13"/>
      <x:c r="J130" s="13"/>
      <x:c r="K130" s="13"/>
      <x:c r="L130" s="13"/>
      <x:c r="M130" s="13"/>
      <x:c r="N130" s="13"/>
      <x:c r="O130" s="13"/>
    </x:row>
    <x:row r="131">
      <x:c r="A131" s="10" t="n">
        <x:v>120</x:v>
      </x:c>
      <x:c r="B131" s="16" t="n">
        <x:v>0.14269613253418356</x:v>
      </x:c>
      <x:c r="C131" s="16" t="n">
        <x:v>0.5158806586405262</x:v>
      </x:c>
      <x:c r="D131" s="10" t="n">
        <x:v>1</x:v>
      </x:c>
      <x:c r="E131" s="11" t="n">
        <x:f>IF(B131&lt;=$B$7,-LN(C131)/$B$8,-LN(C131)/$B$9)</x:f>
        <x:v>2.8223406028448053</x:v>
      </x:c>
      <x:c r="F131" s="13"/>
      <x:c r="G131" s="13"/>
      <x:c r="H131" s="13"/>
      <x:c r="I131" s="13"/>
      <x:c r="J131" s="13"/>
      <x:c r="K131" s="13"/>
      <x:c r="L131" s="13"/>
      <x:c r="M131" s="13"/>
      <x:c r="N131" s="13"/>
      <x:c r="O131" s="13"/>
    </x:row>
    <x:row r="132">
      <x:c r="A132" s="10" t="n">
        <x:v>121</x:v>
      </x:c>
      <x:c r="B132" s="16" t="n">
        <x:v>0.48919781867880374</x:v>
      </x:c>
      <x:c r="C132" s="16" t="n">
        <x:v>0.23501053254585713</x:v>
      </x:c>
      <x:c r="D132" s="10" t="n">
        <x:v>1</x:v>
      </x:c>
      <x:c r="E132" s="11" t="n">
        <x:f>IF(B132&lt;=$B$7,-LN(C132)/$B$8,-LN(C132)/$B$9)</x:f>
        <x:v>6.1749908350796</x:v>
      </x:c>
      <x:c r="F132" s="13"/>
      <x:c r="G132" s="13"/>
      <x:c r="H132" s="13"/>
      <x:c r="I132" s="13"/>
      <x:c r="J132" s="13"/>
      <x:c r="K132" s="13"/>
      <x:c r="L132" s="13"/>
      <x:c r="M132" s="13"/>
      <x:c r="N132" s="13"/>
      <x:c r="O132" s="13"/>
    </x:row>
    <x:row r="133">
      <x:c r="A133" s="10" t="n">
        <x:v>122</x:v>
      </x:c>
      <x:c r="B133" s="16" t="n">
        <x:v>0.1425600895890966</x:v>
      </x:c>
      <x:c r="C133" s="16" t="n">
        <x:v>0.0689974877750501</x:v>
      </x:c>
      <x:c r="D133" s="10" t="n">
        <x:v>1</x:v>
      </x:c>
      <x:c r="E133" s="11" t="n">
        <x:f>IF(B133&lt;=$B$7,-LN(C133)/$B$8,-LN(C133)/$B$9)</x:f>
        <x:v>11.400937155084073</x:v>
      </x:c>
      <x:c r="F133" s="13"/>
      <x:c r="G133" s="13"/>
      <x:c r="H133" s="13"/>
      <x:c r="I133" s="13"/>
      <x:c r="J133" s="13"/>
      <x:c r="K133" s="13"/>
      <x:c r="L133" s="13"/>
      <x:c r="M133" s="13"/>
      <x:c r="N133" s="13"/>
      <x:c r="O133" s="13"/>
    </x:row>
    <x:row r="134">
      <x:c r="A134" s="10" t="n">
        <x:v>123</x:v>
      </x:c>
      <x:c r="B134" s="16" t="n">
        <x:v>0.2792129620211199</x:v>
      </x:c>
      <x:c r="C134" s="16" t="n">
        <x:v>0.19148240133654326</x:v>
      </x:c>
      <x:c r="D134" s="10" t="n">
        <x:v>1</x:v>
      </x:c>
      <x:c r="E134" s="11" t="n">
        <x:f>IF(B134&lt;=$B$7,-LN(C134)/$B$8,-LN(C134)/$B$9)</x:f>
        <x:v>7.04843115056076</x:v>
      </x:c>
      <x:c r="F134" s="13"/>
      <x:c r="G134" s="13"/>
      <x:c r="H134" s="13"/>
      <x:c r="I134" s="13"/>
      <x:c r="J134" s="13"/>
      <x:c r="K134" s="13"/>
      <x:c r="L134" s="13"/>
      <x:c r="M134" s="13"/>
      <x:c r="N134" s="13"/>
      <x:c r="O134" s="13"/>
    </x:row>
    <x:row r="135">
      <x:c r="A135" s="10" t="n">
        <x:v>124</x:v>
      </x:c>
      <x:c r="B135" s="16" t="n">
        <x:v>0.47995890642050654</x:v>
      </x:c>
      <x:c r="C135" s="16" t="n">
        <x:v>0.8345837903907523</x:v>
      </x:c>
      <x:c r="D135" s="10" t="n">
        <x:v>1</x:v>
      </x:c>
      <x:c r="E135" s="11" t="n">
        <x:f>IF(B135&lt;=$B$7,-LN(C135)/$B$8,-LN(C135)/$B$9)</x:f>
        <x:v>0.7710488082511058</x:v>
      </x:c>
      <x:c r="F135" s="13"/>
      <x:c r="G135" s="13"/>
      <x:c r="H135" s="13"/>
      <x:c r="I135" s="13"/>
      <x:c r="J135" s="13"/>
      <x:c r="K135" s="13"/>
      <x:c r="L135" s="13"/>
      <x:c r="M135" s="13"/>
      <x:c r="N135" s="13"/>
      <x:c r="O135" s="13"/>
    </x:row>
    <x:row r="136">
      <x:c r="A136" s="10" t="n">
        <x:v>125</x:v>
      </x:c>
      <x:c r="B136" s="16" t="n">
        <x:v>0.8195743636460975</x:v>
      </x:c>
      <x:c r="C136" s="16" t="n">
        <x:v>0.25352221715729684</x:v>
      </x:c>
      <x:c r="D136" s="10" t="n">
        <x:v>1</x:v>
      </x:c>
      <x:c r="E136" s="11" t="n">
        <x:f>IF(B136&lt;=$B$7,-LN(C136)/$B$8,-LN(C136)/$B$9)</x:f>
        <x:v>5.851679801857949</x:v>
      </x:c>
      <x:c r="F136" s="13"/>
      <x:c r="G136" s="13"/>
      <x:c r="H136" s="13"/>
      <x:c r="I136" s="13"/>
      <x:c r="J136" s="13"/>
      <x:c r="K136" s="13"/>
      <x:c r="L136" s="13"/>
      <x:c r="M136" s="13"/>
      <x:c r="N136" s="13"/>
      <x:c r="O136" s="13"/>
    </x:row>
    <x:row r="137">
      <x:c r="A137" s="10" t="n">
        <x:v>126</x:v>
      </x:c>
      <x:c r="B137" s="16" t="n">
        <x:v>0.304387946263887</x:v>
      </x:c>
      <x:c r="C137" s="16" t="n">
        <x:v>0.5821290932362899</x:v>
      </x:c>
      <x:c r="D137" s="10" t="n">
        <x:v>1</x:v>
      </x:c>
      <x:c r="E137" s="11" t="n">
        <x:f>IF(B137&lt;=$B$7,-LN(C137)/$B$8,-LN(C137)/$B$9)</x:f>
        <x:v>2.3071623476500855</x:v>
      </x:c>
      <x:c r="F137" s="13"/>
      <x:c r="G137" s="13"/>
      <x:c r="H137" s="13"/>
      <x:c r="I137" s="13"/>
      <x:c r="J137" s="13"/>
      <x:c r="K137" s="13"/>
      <x:c r="L137" s="13"/>
      <x:c r="M137" s="13"/>
      <x:c r="N137" s="13"/>
      <x:c r="O137" s="13"/>
    </x:row>
    <x:row r="138">
      <x:c r="A138" s="10" t="n">
        <x:v>127</x:v>
      </x:c>
      <x:c r="B138" s="16" t="n">
        <x:v>0.6647933322237805</x:v>
      </x:c>
      <x:c r="C138" s="16" t="n">
        <x:v>0.35719398490618914</x:v>
      </x:c>
      <x:c r="D138" s="10" t="n">
        <x:v>1</x:v>
      </x:c>
      <x:c r="E138" s="11" t="n">
        <x:f>IF(B138&lt;=$B$7,-LN(C138)/$B$8,-LN(C138)/$B$9)</x:f>
        <x:v>4.389819086839975</x:v>
      </x:c>
      <x:c r="F138" s="13"/>
      <x:c r="G138" s="13"/>
      <x:c r="H138" s="13"/>
      <x:c r="I138" s="13"/>
      <x:c r="J138" s="13"/>
      <x:c r="K138" s="13"/>
      <x:c r="L138" s="13"/>
      <x:c r="M138" s="13"/>
      <x:c r="N138" s="13"/>
      <x:c r="O138" s="13"/>
    </x:row>
    <x:row r="139">
      <x:c r="A139" s="10" t="n">
        <x:v>128</x:v>
      </x:c>
      <x:c r="B139" s="16" t="n">
        <x:v>0.5536001712316647</x:v>
      </x:c>
      <x:c r="C139" s="16" t="n">
        <x:v>0.5608935834607109</x:v>
      </x:c>
      <x:c r="D139" s="10" t="n">
        <x:v>1</x:v>
      </x:c>
      <x:c r="E139" s="11" t="n">
        <x:f>IF(B139&lt;=$B$7,-LN(C139)/$B$8,-LN(C139)/$B$9)</x:f>
        <x:v>2.4656217802020692</x:v>
      </x:c>
      <x:c r="F139" s="13"/>
      <x:c r="G139" s="13"/>
      <x:c r="H139" s="13"/>
      <x:c r="I139" s="13"/>
      <x:c r="J139" s="13"/>
      <x:c r="K139" s="13"/>
      <x:c r="L139" s="13"/>
      <x:c r="M139" s="13"/>
      <x:c r="N139" s="13"/>
      <x:c r="O139" s="13"/>
    </x:row>
    <x:row r="140">
      <x:c r="A140" s="10" t="n">
        <x:v>129</x:v>
      </x:c>
      <x:c r="B140" s="16" t="n">
        <x:v>0.6278841366292909</x:v>
      </x:c>
      <x:c r="C140" s="16" t="n">
        <x:v>0.0783970671473071</x:v>
      </x:c>
      <x:c r="D140" s="10" t="n">
        <x:v>1</x:v>
      </x:c>
      <x:c r="E140" s="11" t="n">
        <x:f>IF(B140&lt;=$B$7,-LN(C140)/$B$8,-LN(C140)/$B$9)</x:f>
        <x:v>10.856337917928558</x:v>
      </x:c>
      <x:c r="F140" s="13"/>
      <x:c r="G140" s="13"/>
      <x:c r="H140" s="13"/>
      <x:c r="I140" s="13"/>
      <x:c r="J140" s="13"/>
      <x:c r="K140" s="13"/>
      <x:c r="L140" s="13"/>
      <x:c r="M140" s="13"/>
      <x:c r="N140" s="13"/>
      <x:c r="O140" s="13"/>
    </x:row>
    <x:row r="141">
      <x:c r="A141" s="10" t="n">
        <x:v>130</x:v>
      </x:c>
      <x:c r="B141" s="16" t="n">
        <x:v>0.1140675680944696</x:v>
      </x:c>
      <x:c r="C141" s="16" t="n">
        <x:v>0.5546566437697038</x:v>
      </x:c>
      <x:c r="D141" s="10" t="n">
        <x:v>1</x:v>
      </x:c>
      <x:c r="E141" s="11" t="n">
        <x:f>IF(B141&lt;=$B$7,-LN(C141)/$B$8,-LN(C141)/$B$9)</x:f>
        <x:v>2.5133029847970776</x:v>
      </x:c>
      <x:c r="F141" s="13"/>
      <x:c r="G141" s="13"/>
      <x:c r="H141" s="13"/>
      <x:c r="I141" s="13"/>
      <x:c r="J141" s="13"/>
      <x:c r="K141" s="13"/>
      <x:c r="L141" s="13"/>
      <x:c r="M141" s="13"/>
      <x:c r="N141" s="13"/>
      <x:c r="O141" s="13"/>
    </x:row>
    <x:row r="142">
      <x:c r="A142" s="10" t="n">
        <x:v>131</x:v>
      </x:c>
      <x:c r="B142" s="16" t="n">
        <x:v>0.08584496297407895</x:v>
      </x:c>
      <x:c r="C142" s="16" t="n">
        <x:v>0.32286862551700324</x:v>
      </x:c>
      <x:c r="D142" s="10" t="n">
        <x:v>1</x:v>
      </x:c>
      <x:c r="E142" s="11" t="n">
        <x:f>IF(B142&lt;=$B$7,-LN(C142)/$B$8,-LN(C142)/$B$9)</x:f>
        <x:v>4.820638916254212</x:v>
      </x:c>
      <x:c r="F142" s="13"/>
      <x:c r="G142" s="13"/>
      <x:c r="H142" s="13"/>
      <x:c r="I142" s="13"/>
      <x:c r="J142" s="13"/>
      <x:c r="K142" s="13"/>
      <x:c r="L142" s="13"/>
      <x:c r="M142" s="13"/>
      <x:c r="N142" s="13"/>
      <x:c r="O142" s="13"/>
    </x:row>
    <x:row r="143">
      <x:c r="A143" s="10" t="n">
        <x:v>132</x:v>
      </x:c>
      <x:c r="B143" s="16" t="n">
        <x:v>0.13476288656238467</x:v>
      </x:c>
      <x:c r="C143" s="16" t="n">
        <x:v>0.4296294500818476</x:v>
      </x:c>
      <x:c r="D143" s="10" t="n">
        <x:v>1</x:v>
      </x:c>
      <x:c r="E143" s="11" t="n">
        <x:f>IF(B143&lt;=$B$7,-LN(C143)/$B$8,-LN(C143)/$B$9)</x:f>
        <x:v>3.602472989047868</x:v>
      </x:c>
      <x:c r="F143" s="13"/>
      <x:c r="G143" s="13"/>
      <x:c r="H143" s="13"/>
      <x:c r="I143" s="13"/>
      <x:c r="J143" s="13"/>
      <x:c r="K143" s="13"/>
      <x:c r="L143" s="13"/>
      <x:c r="M143" s="13"/>
      <x:c r="N143" s="13"/>
      <x:c r="O143" s="13"/>
    </x:row>
    <x:row r="144">
      <x:c r="A144" s="10" t="n">
        <x:v>133</x:v>
      </x:c>
      <x:c r="B144" s="16" t="n">
        <x:v>0.196271684137173</x:v>
      </x:c>
      <x:c r="C144" s="16" t="n">
        <x:v>0.36091262463014573</x:v>
      </x:c>
      <x:c r="D144" s="10" t="n">
        <x:v>1</x:v>
      </x:c>
      <x:c r="E144" s="11" t="n">
        <x:f>IF(B144&lt;=$B$7,-LN(C144)/$B$8,-LN(C144)/$B$9)</x:f>
        <x:v>4.345656008256892</x:v>
      </x:c>
      <x:c r="F144" s="13"/>
      <x:c r="G144" s="13"/>
      <x:c r="H144" s="13"/>
      <x:c r="I144" s="13"/>
      <x:c r="J144" s="13"/>
      <x:c r="K144" s="13"/>
      <x:c r="L144" s="13"/>
      <x:c r="M144" s="13"/>
      <x:c r="N144" s="13"/>
      <x:c r="O144" s="13"/>
    </x:row>
    <x:row r="145">
      <x:c r="A145" s="10" t="n">
        <x:v>134</x:v>
      </x:c>
      <x:c r="B145" s="16" t="n">
        <x:v>0.322386690066196</x:v>
      </x:c>
      <x:c r="C145" s="16" t="n">
        <x:v>0.9411566316848621</x:v>
      </x:c>
      <x:c r="D145" s="10" t="n">
        <x:v>1</x:v>
      </x:c>
      <x:c r="E145" s="11" t="n">
        <x:f>IF(B145&lt;=$B$7,-LN(C145)/$B$8,-LN(C145)/$B$9)</x:f>
        <x:v>0.2586010606239236</x:v>
      </x:c>
      <x:c r="F145" s="13"/>
      <x:c r="G145" s="13"/>
      <x:c r="H145" s="13"/>
      <x:c r="I145" s="13"/>
      <x:c r="J145" s="13"/>
      <x:c r="K145" s="13"/>
      <x:c r="L145" s="13"/>
      <x:c r="M145" s="13"/>
      <x:c r="N145" s="13"/>
      <x:c r="O145" s="13"/>
    </x:row>
    <x:row r="146">
      <x:c r="A146" s="10" t="n">
        <x:v>135</x:v>
      </x:c>
      <x:c r="B146" s="16" t="n">
        <x:v>0.9782294417964295</x:v>
      </x:c>
      <x:c r="C146" s="16" t="n">
        <x:v>0.5974803984863684</x:v>
      </x:c>
      <x:c r="D146" s="10" t="n">
        <x:v>2</x:v>
      </x:c>
      <x:c r="E146" s="11" t="n">
        <x:f>IF(B146&lt;=$B$7,-LN(C146)/$B$8,-LN(C146)/$B$9)</x:f>
        <x:v>34.71082079851131</x:v>
      </x:c>
      <x:c r="F146" s="13"/>
      <x:c r="G146" s="13"/>
      <x:c r="H146" s="13"/>
      <x:c r="I146" s="13"/>
      <x:c r="J146" s="13"/>
      <x:c r="K146" s="13"/>
      <x:c r="L146" s="13"/>
      <x:c r="M146" s="13"/>
      <x:c r="N146" s="13"/>
      <x:c r="O146" s="13"/>
    </x:row>
    <x:row r="147">
      <x:c r="A147" s="10" t="n">
        <x:v>136</x:v>
      </x:c>
      <x:c r="B147" s="16" t="n">
        <x:v>0.29616471903864294</x:v>
      </x:c>
      <x:c r="C147" s="16" t="n">
        <x:v>0.8148319938918576</x:v>
      </x:c>
      <x:c r="D147" s="10" t="n">
        <x:v>1</x:v>
      </x:c>
      <x:c r="E147" s="11" t="n">
        <x:f>IF(B147&lt;=$B$7,-LN(C147)/$B$8,-LN(C147)/$B$9)</x:f>
        <x:v>0.8731797872236688</x:v>
      </x:c>
      <x:c r="F147" s="13"/>
      <x:c r="G147" s="13"/>
      <x:c r="H147" s="13"/>
      <x:c r="I147" s="13"/>
      <x:c r="J147" s="13"/>
      <x:c r="K147" s="13"/>
      <x:c r="L147" s="13"/>
      <x:c r="M147" s="13"/>
      <x:c r="N147" s="13"/>
      <x:c r="O147" s="13"/>
    </x:row>
    <x:row r="148">
      <x:c r="A148" s="10" t="n">
        <x:v>137</x:v>
      </x:c>
      <x:c r="B148" s="16" t="n">
        <x:v>0.4605070409597829</x:v>
      </x:c>
      <x:c r="C148" s="16" t="n">
        <x:v>0.7182277793763205</x:v>
      </x:c>
      <x:c r="D148" s="10" t="n">
        <x:v>1</x:v>
      </x:c>
      <x:c r="E148" s="11" t="n">
        <x:f>IF(B148&lt;=$B$7,-LN(C148)/$B$8,-LN(C148)/$B$9)</x:f>
        <x:v>1.4112922887393426</x:v>
      </x:c>
      <x:c r="F148" s="13"/>
      <x:c r="G148" s="13"/>
      <x:c r="H148" s="13"/>
      <x:c r="I148" s="13"/>
      <x:c r="J148" s="13"/>
      <x:c r="K148" s="13"/>
      <x:c r="L148" s="13"/>
      <x:c r="M148" s="13"/>
      <x:c r="N148" s="13"/>
      <x:c r="O148" s="13"/>
    </x:row>
    <x:row r="149">
      <x:c r="A149" s="10" t="n">
        <x:v>138</x:v>
      </x:c>
      <x:c r="B149" s="16" t="n">
        <x:v>0.3303405666956678</x:v>
      </x:c>
      <x:c r="C149" s="16" t="n">
        <x:v>0.36765330319758505</x:v>
      </x:c>
      <x:c r="D149" s="10" t="n">
        <x:v>1</x:v>
      </x:c>
      <x:c r="E149" s="11" t="n">
        <x:f>IF(B149&lt;=$B$7,-LN(C149)/$B$8,-LN(C149)/$B$9)</x:f>
        <x:v>4.26675048010914</x:v>
      </x:c>
      <x:c r="F149" s="13"/>
      <x:c r="G149" s="13"/>
      <x:c r="H149" s="13"/>
      <x:c r="I149" s="13"/>
      <x:c r="J149" s="13"/>
      <x:c r="K149" s="13"/>
      <x:c r="L149" s="13"/>
      <x:c r="M149" s="13"/>
      <x:c r="N149" s="13"/>
      <x:c r="O149" s="13"/>
    </x:row>
    <x:row r="150">
      <x:c r="A150" s="10" t="n">
        <x:v>139</x:v>
      </x:c>
      <x:c r="B150" s="16" t="n">
        <x:v>0.350379156996496</x:v>
      </x:c>
      <x:c r="C150" s="16" t="n">
        <x:v>0.10217378928791732</x:v>
      </x:c>
      <x:c r="D150" s="10" t="n">
        <x:v>1</x:v>
      </x:c>
      <x:c r="E150" s="11" t="n">
        <x:f>IF(B150&lt;=$B$7,-LN(C150)/$B$8,-LN(C150)/$B$9)</x:f>
        <x:v>9.726818628087786</x:v>
      </x:c>
      <x:c r="F150" s="13"/>
      <x:c r="G150" s="13"/>
      <x:c r="H150" s="13"/>
      <x:c r="I150" s="13"/>
      <x:c r="J150" s="13"/>
      <x:c r="K150" s="13"/>
      <x:c r="L150" s="13"/>
      <x:c r="M150" s="13"/>
      <x:c r="N150" s="13"/>
      <x:c r="O150" s="13"/>
    </x:row>
    <x:row r="151">
      <x:c r="A151" s="10" t="n">
        <x:v>140</x:v>
      </x:c>
      <x:c r="B151" s="16" t="n">
        <x:v>0.06248866731766611</x:v>
      </x:c>
      <x:c r="C151" s="16" t="n">
        <x:v>0.18484113493468612</x:v>
      </x:c>
      <x:c r="D151" s="10" t="n">
        <x:v>1</x:v>
      </x:c>
      <x:c r="E151" s="11" t="n">
        <x:f>IF(B151&lt;=$B$7,-LN(C151)/$B$8,-LN(C151)/$B$9)</x:f>
        <x:v>7.198951386516151</x:v>
      </x:c>
      <x:c r="F151" s="13"/>
      <x:c r="G151" s="13"/>
      <x:c r="H151" s="13"/>
      <x:c r="I151" s="13"/>
      <x:c r="J151" s="13"/>
      <x:c r="K151" s="13"/>
      <x:c r="L151" s="13"/>
      <x:c r="M151" s="13"/>
      <x:c r="N151" s="13"/>
      <x:c r="O151" s="13"/>
    </x:row>
    <x:row r="152">
      <x:c r="A152" s="10" t="n">
        <x:v>141</x:v>
      </x:c>
      <x:c r="B152" s="16" t="n">
        <x:v>0.9260013551684096</x:v>
      </x:c>
      <x:c r="C152" s="16" t="n">
        <x:v>0.6415858938125893</x:v>
      </x:c>
      <x:c r="D152" s="10" t="n">
        <x:v>1</x:v>
      </x:c>
      <x:c r="E152" s="11" t="n">
        <x:f>IF(B152&lt;=$B$7,-LN(C152)/$B$8,-LN(C152)/$B$9)</x:f>
        <x:v>1.8924722810552381</x:v>
      </x:c>
      <x:c r="F152" s="13"/>
      <x:c r="G152" s="13"/>
      <x:c r="H152" s="13"/>
      <x:c r="I152" s="13"/>
      <x:c r="J152" s="13"/>
      <x:c r="K152" s="13"/>
      <x:c r="L152" s="13"/>
      <x:c r="M152" s="13"/>
      <x:c r="N152" s="13"/>
      <x:c r="O152" s="13"/>
    </x:row>
    <x:row r="153">
      <x:c r="A153" s="10" t="n">
        <x:v>142</x:v>
      </x:c>
      <x:c r="B153" s="16" t="n">
        <x:v>0.9957725970307365</x:v>
      </x:c>
      <x:c r="C153" s="16" t="n">
        <x:v>0.617946783429943</x:v>
      </x:c>
      <x:c r="D153" s="10" t="n">
        <x:v>2</x:v>
      </x:c>
      <x:c r="E153" s="11" t="n">
        <x:f>IF(B153&lt;=$B$7,-LN(C153)/$B$8,-LN(C153)/$B$9)</x:f>
        <x:v>32.440891174668174</x:v>
      </x:c>
      <x:c r="F153" s="13"/>
      <x:c r="G153" s="13"/>
      <x:c r="H153" s="13"/>
      <x:c r="I153" s="13"/>
      <x:c r="J153" s="13"/>
      <x:c r="K153" s="13"/>
      <x:c r="L153" s="13"/>
      <x:c r="M153" s="13"/>
      <x:c r="N153" s="13"/>
      <x:c r="O153" s="13"/>
    </x:row>
    <x:row r="154">
      <x:c r="A154" s="10" t="n">
        <x:v>143</x:v>
      </x:c>
      <x:c r="B154" s="16" t="n">
        <x:v>0.10556292266119272</x:v>
      </x:c>
      <x:c r="C154" s="16" t="n">
        <x:v>0.3597168185515329</x:v>
      </x:c>
      <x:c r="D154" s="10" t="n">
        <x:v>1</x:v>
      </x:c>
      <x:c r="E154" s="11" t="n">
        <x:f>IF(B154&lt;=$B$7,-LN(C154)/$B$8,-LN(C154)/$B$9)</x:f>
        <x:v>4.3598077348940905</x:v>
      </x:c>
      <x:c r="F154" s="13"/>
      <x:c r="G154" s="13"/>
      <x:c r="H154" s="13"/>
      <x:c r="I154" s="13"/>
      <x:c r="J154" s="13"/>
      <x:c r="K154" s="13"/>
      <x:c r="L154" s="13"/>
      <x:c r="M154" s="13"/>
      <x:c r="N154" s="13"/>
      <x:c r="O154" s="13"/>
    </x:row>
    <x:row r="155">
      <x:c r="A155" s="10" t="n">
        <x:v>144</x:v>
      </x:c>
      <x:c r="B155" s="16" t="n">
        <x:v>0.8732736870879307</x:v>
      </x:c>
      <x:c r="C155" s="16" t="n">
        <x:v>0.1198742346605286</x:v>
      </x:c>
      <x:c r="D155" s="10" t="n">
        <x:v>1</x:v>
      </x:c>
      <x:c r="E155" s="11" t="n">
        <x:f>IF(B155&lt;=$B$7,-LN(C155)/$B$8,-LN(C155)/$B$9)</x:f>
        <x:v>9.045547481580986</x:v>
      </x:c>
      <x:c r="F155" s="13"/>
      <x:c r="G155" s="13"/>
      <x:c r="H155" s="13"/>
      <x:c r="I155" s="13"/>
      <x:c r="J155" s="13"/>
      <x:c r="K155" s="13"/>
      <x:c r="L155" s="13"/>
      <x:c r="M155" s="13"/>
      <x:c r="N155" s="13"/>
      <x:c r="O155" s="13"/>
    </x:row>
    <x:row r="156">
      <x:c r="A156" s="10" t="n">
        <x:v>145</x:v>
      </x:c>
      <x:c r="B156" s="16" t="n">
        <x:v>0.8963225131155923</x:v>
      </x:c>
      <x:c r="C156" s="16" t="n">
        <x:v>0.46701792802195996</x:v>
      </x:c>
      <x:c r="D156" s="10" t="n">
        <x:v>1</x:v>
      </x:c>
      <x:c r="E156" s="11" t="n">
        <x:f>IF(B156&lt;=$B$7,-LN(C156)/$B$8,-LN(C156)/$B$9)</x:f>
        <x:v>3.246654691399309</x:v>
      </x:c>
      <x:c r="F156" s="13"/>
      <x:c r="G156" s="13"/>
      <x:c r="H156" s="13"/>
      <x:c r="I156" s="13"/>
      <x:c r="J156" s="13"/>
      <x:c r="K156" s="13"/>
      <x:c r="L156" s="13"/>
      <x:c r="M156" s="13"/>
      <x:c r="N156" s="13"/>
      <x:c r="O156" s="13"/>
    </x:row>
    <x:row r="157">
      <x:c r="A157" s="10" t="n">
        <x:v>146</x:v>
      </x:c>
      <x:c r="B157" s="16" t="n">
        <x:v>0.2525149496505037</x:v>
      </x:c>
      <x:c r="C157" s="16" t="n">
        <x:v>0.6824412014102563</x:v>
      </x:c>
      <x:c r="D157" s="10" t="n">
        <x:v>1</x:v>
      </x:c>
      <x:c r="E157" s="11" t="n">
        <x:f>IF(B157&lt;=$B$7,-LN(C157)/$B$8,-LN(C157)/$B$9)</x:f>
        <x:v>1.6292335528537896</x:v>
      </x:c>
      <x:c r="F157" s="13"/>
      <x:c r="G157" s="13"/>
      <x:c r="H157" s="13"/>
      <x:c r="I157" s="13"/>
      <x:c r="J157" s="13"/>
      <x:c r="K157" s="13"/>
      <x:c r="L157" s="13"/>
      <x:c r="M157" s="13"/>
      <x:c r="N157" s="13"/>
      <x:c r="O157" s="13"/>
    </x:row>
    <x:row r="158">
      <x:c r="A158" s="10" t="n">
        <x:v>147</x:v>
      </x:c>
      <x:c r="B158" s="16" t="n">
        <x:v>0.6766516036586836</x:v>
      </x:c>
      <x:c r="C158" s="16" t="n">
        <x:v>0.746454167063348</x:v>
      </x:c>
      <x:c r="D158" s="10" t="n">
        <x:v>1</x:v>
      </x:c>
      <x:c r="E158" s="11" t="n">
        <x:f>IF(B158&lt;=$B$7,-LN(C158)/$B$8,-LN(C158)/$B$9)</x:f>
        <x:v>1.246920975957603</x:v>
      </x:c>
      <x:c r="F158" s="13"/>
      <x:c r="G158" s="13"/>
      <x:c r="H158" s="13"/>
      <x:c r="I158" s="13"/>
      <x:c r="J158" s="13"/>
      <x:c r="K158" s="13"/>
      <x:c r="L158" s="13"/>
      <x:c r="M158" s="13"/>
      <x:c r="N158" s="13"/>
      <x:c r="O158" s="13"/>
    </x:row>
    <x:row r="159">
      <x:c r="A159" s="10" t="n">
        <x:v>148</x:v>
      </x:c>
      <x:c r="B159" s="16" t="n">
        <x:v>0.8583053160691634</x:v>
      </x:c>
      <x:c r="C159" s="16" t="n">
        <x:v>0.8921042209258303</x:v>
      </x:c>
      <x:c r="D159" s="10" t="n">
        <x:v>1</x:v>
      </x:c>
      <x:c r="E159" s="11" t="n">
        <x:f>IF(B159&lt;=$B$7,-LN(C159)/$B$8,-LN(C159)/$B$9)</x:f>
        <x:v>0.48684541479329513</x:v>
      </x:c>
      <x:c r="F159" s="13"/>
      <x:c r="G159" s="13"/>
      <x:c r="H159" s="13"/>
      <x:c r="I159" s="13"/>
      <x:c r="J159" s="13"/>
      <x:c r="K159" s="13"/>
      <x:c r="L159" s="13"/>
      <x:c r="M159" s="13"/>
      <x:c r="N159" s="13"/>
      <x:c r="O159" s="13"/>
    </x:row>
    <x:row r="160">
      <x:c r="A160" s="10" t="n">
        <x:v>149</x:v>
      </x:c>
      <x:c r="B160" s="16" t="n">
        <x:v>0.014210764435119927</x:v>
      </x:c>
      <x:c r="C160" s="16" t="n">
        <x:v>0.4085455647436902</x:v>
      </x:c>
      <x:c r="D160" s="10" t="n">
        <x:v>1</x:v>
      </x:c>
      <x:c r="E160" s="11" t="n">
        <x:f>IF(B160&lt;=$B$7,-LN(C160)/$B$8,-LN(C160)/$B$9)</x:f>
        <x:v>3.8170424142694745</x:v>
      </x:c>
      <x:c r="F160" s="13"/>
      <x:c r="G160" s="13"/>
      <x:c r="H160" s="13"/>
      <x:c r="I160" s="13"/>
      <x:c r="J160" s="13"/>
      <x:c r="K160" s="13"/>
      <x:c r="L160" s="13"/>
      <x:c r="M160" s="13"/>
      <x:c r="N160" s="13"/>
      <x:c r="O160" s="13"/>
    </x:row>
    <x:row r="161">
      <x:c r="A161" s="10" t="n">
        <x:v>150</x:v>
      </x:c>
      <x:c r="B161" s="16" t="n">
        <x:v>0.5420291876653209</x:v>
      </x:c>
      <x:c r="C161" s="16" t="n">
        <x:v>0.36947281507309526</x:v>
      </x:c>
      <x:c r="D161" s="10" t="n">
        <x:v>1</x:v>
      </x:c>
      <x:c r="E161" s="11" t="n">
        <x:f>IF(B161&lt;=$B$7,-LN(C161)/$B$8,-LN(C161)/$B$9)</x:f>
        <x:v>4.245699406260008</x:v>
      </x:c>
      <x:c r="F161" s="13"/>
      <x:c r="G161" s="13"/>
      <x:c r="H161" s="13"/>
      <x:c r="I161" s="13"/>
      <x:c r="J161" s="13"/>
      <x:c r="K161" s="13"/>
      <x:c r="L161" s="13"/>
      <x:c r="M161" s="13"/>
      <x:c r="N161" s="13"/>
      <x:c r="O161" s="13"/>
    </x:row>
    <x:row r="162">
      <x:c r="A162" s="10" t="n">
        <x:v>151</x:v>
      </x:c>
      <x:c r="B162" s="16" t="n">
        <x:v>0.9733837406383827</x:v>
      </x:c>
      <x:c r="C162" s="16" t="n">
        <x:v>0.8067603007657453</x:v>
      </x:c>
      <x:c r="D162" s="10" t="n">
        <x:v>2</x:v>
      </x:c>
      <x:c r="E162" s="11" t="n">
        <x:f>IF(B162&lt;=$B$7,-LN(C162)/$B$8,-LN(C162)/$B$9)</x:f>
        <x:v>14.471688470628298</x:v>
      </x:c>
      <x:c r="F162" s="13"/>
      <x:c r="G162" s="13"/>
      <x:c r="H162" s="13"/>
      <x:c r="I162" s="13"/>
      <x:c r="J162" s="13"/>
      <x:c r="K162" s="13"/>
      <x:c r="L162" s="13"/>
      <x:c r="M162" s="13"/>
      <x:c r="N162" s="13"/>
      <x:c r="O162" s="13"/>
    </x:row>
    <x:row r="163">
      <x:c r="A163" s="10" t="n">
        <x:v>152</x:v>
      </x:c>
      <x:c r="B163" s="16" t="n">
        <x:v>0.9255062990123406</x:v>
      </x:c>
      <x:c r="C163" s="16" t="n">
        <x:v>0.6082377129932866</x:v>
      </x:c>
      <x:c r="D163" s="10" t="n">
        <x:v>1</x:v>
      </x:c>
      <x:c r="E163" s="11" t="n">
        <x:f>IF(B163&lt;=$B$7,-LN(C163)/$B$8,-LN(C163)/$B$9)</x:f>
        <x:v>2.1200799016306258</x:v>
      </x:c>
      <x:c r="F163" s="13"/>
      <x:c r="G163" s="13"/>
      <x:c r="H163" s="13"/>
      <x:c r="I163" s="13"/>
      <x:c r="J163" s="13"/>
      <x:c r="K163" s="13"/>
      <x:c r="L163" s="13"/>
      <x:c r="M163" s="13"/>
      <x:c r="N163" s="13"/>
      <x:c r="O163" s="13"/>
    </x:row>
    <x:row r="164">
      <x:c r="A164" s="10" t="n">
        <x:v>153</x:v>
      </x:c>
      <x:c r="B164" s="16" t="n">
        <x:v>0.11509434704203159</x:v>
      </x:c>
      <x:c r="C164" s="16" t="n">
        <x:v>0.6538843343732879</x:v>
      </x:c>
      <x:c r="D164" s="10" t="n">
        <x:v>1</x:v>
      </x:c>
      <x:c r="E164" s="11" t="n">
        <x:f>IF(B164&lt;=$B$7,-LN(C164)/$B$8,-LN(C164)/$B$9)</x:f>
        <x:v>1.8115075392705635</x:v>
      </x:c>
      <x:c r="F164" s="13"/>
      <x:c r="G164" s="13"/>
      <x:c r="H164" s="13"/>
      <x:c r="I164" s="13"/>
      <x:c r="J164" s="13"/>
      <x:c r="K164" s="13"/>
      <x:c r="L164" s="13"/>
      <x:c r="M164" s="13"/>
      <x:c r="N164" s="13"/>
      <x:c r="O164" s="13"/>
    </x:row>
    <x:row r="165">
      <x:c r="A165" s="10" t="n">
        <x:v>154</x:v>
      </x:c>
      <x:c r="B165" s="16" t="n">
        <x:v>0.05754689371678978</x:v>
      </x:c>
      <x:c r="C165" s="16" t="n">
        <x:v>0.47913813625928015</x:v>
      </x:c>
      <x:c r="D165" s="10" t="n">
        <x:v>1</x:v>
      </x:c>
      <x:c r="E165" s="11" t="n">
        <x:f>IF(B165&lt;=$B$7,-LN(C165)/$B$8,-LN(C165)/$B$9)</x:f>
        <x:v>3.137402202624843</x:v>
      </x:c>
      <x:c r="F165" s="13"/>
      <x:c r="G165" s="13"/>
      <x:c r="H165" s="13"/>
      <x:c r="I165" s="13"/>
      <x:c r="J165" s="13"/>
      <x:c r="K165" s="13"/>
      <x:c r="L165" s="13"/>
      <x:c r="M165" s="13"/>
      <x:c r="N165" s="13"/>
      <x:c r="O165" s="13"/>
    </x:row>
    <x:row r="166">
      <x:c r="A166" s="10" t="n">
        <x:v>155</x:v>
      </x:c>
      <x:c r="B166" s="16" t="n">
        <x:v>0.6421311750309542</x:v>
      </x:c>
      <x:c r="C166" s="16" t="n">
        <x:v>0.6299925957573578</x:v>
      </x:c>
      <x:c r="D166" s="10" t="n">
        <x:v>1</x:v>
      </x:c>
      <x:c r="E166" s="11" t="n">
        <x:f>IF(B166&lt;=$B$7,-LN(C166)/$B$8,-LN(C166)/$B$9)</x:f>
        <x:v>1.9702286802248545</x:v>
      </x:c>
      <x:c r="F166" s="13"/>
      <x:c r="G166" s="13"/>
      <x:c r="H166" s="13"/>
      <x:c r="I166" s="13"/>
      <x:c r="J166" s="13"/>
      <x:c r="K166" s="13"/>
      <x:c r="L166" s="13"/>
      <x:c r="M166" s="13"/>
      <x:c r="N166" s="13"/>
      <x:c r="O166" s="13"/>
    </x:row>
    <x:row r="167">
      <x:c r="A167" s="10" t="n">
        <x:v>156</x:v>
      </x:c>
      <x:c r="B167" s="16" t="n">
        <x:v>0.661327212699689</x:v>
      </x:c>
      <x:c r="C167" s="16" t="n">
        <x:v>0.9145931465318426</x:v>
      </x:c>
      <x:c r="D167" s="10" t="n">
        <x:v>1</x:v>
      </x:c>
      <x:c r="E167" s="11" t="n">
        <x:f>IF(B167&lt;=$B$7,-LN(C167)/$B$8,-LN(C167)/$B$9)</x:f>
        <x:v>0.3806841691952206</x:v>
      </x:c>
      <x:c r="F167" s="13"/>
      <x:c r="G167" s="13"/>
      <x:c r="H167" s="13"/>
      <x:c r="I167" s="13"/>
      <x:c r="J167" s="13"/>
      <x:c r="K167" s="13"/>
      <x:c r="L167" s="13"/>
      <x:c r="M167" s="13"/>
      <x:c r="N167" s="13"/>
      <x:c r="O167" s="13"/>
    </x:row>
    <x:row r="168">
      <x:c r="A168" s="10" t="n">
        <x:v>157</x:v>
      </x:c>
      <x:c r="B168" s="16" t="n">
        <x:v>0.39310511213261634</x:v>
      </x:c>
      <x:c r="C168" s="16" t="n">
        <x:v>0.5226467399625108</x:v>
      </x:c>
      <x:c r="D168" s="10" t="n">
        <x:v>1</x:v>
      </x:c>
      <x:c r="E168" s="11" t="n">
        <x:f>IF(B168&lt;=$B$7,-LN(C168)/$B$8,-LN(C168)/$B$9)</x:f>
        <x:v>2.7667776040038508</x:v>
      </x:c>
      <x:c r="F168" s="13"/>
      <x:c r="G168" s="13"/>
      <x:c r="H168" s="13"/>
      <x:c r="I168" s="13"/>
      <x:c r="J168" s="13"/>
      <x:c r="K168" s="13"/>
      <x:c r="L168" s="13"/>
      <x:c r="M168" s="13"/>
      <x:c r="N168" s="13"/>
      <x:c r="O168" s="13"/>
    </x:row>
    <x:row r="169">
      <x:c r="A169" s="10" t="n">
        <x:v>158</x:v>
      </x:c>
      <x:c r="B169" s="16" t="n">
        <x:v>0.8007102949777618</x:v>
      </x:c>
      <x:c r="C169" s="16" t="n">
        <x:v>0.5396220557158813</x:v>
      </x:c>
      <x:c r="D169" s="10" t="n">
        <x:v>1</x:v>
      </x:c>
      <x:c r="E169" s="11" t="n">
        <x:f>IF(B169&lt;=$B$7,-LN(C169)/$B$8,-LN(C169)/$B$9)</x:f>
        <x:v>2.6304823644212196</x:v>
      </x:c>
      <x:c r="F169" s="13"/>
      <x:c r="G169" s="13"/>
      <x:c r="H169" s="13"/>
      <x:c r="I169" s="13"/>
      <x:c r="J169" s="13"/>
      <x:c r="K169" s="13"/>
      <x:c r="L169" s="13"/>
      <x:c r="M169" s="13"/>
      <x:c r="N169" s="13"/>
      <x:c r="O169" s="13"/>
    </x:row>
    <x:row r="170">
      <x:c r="A170" s="10" t="n">
        <x:v>159</x:v>
      </x:c>
      <x:c r="B170" s="16" t="n">
        <x:v>0.638164674048312</x:v>
      </x:c>
      <x:c r="C170" s="16" t="n">
        <x:v>0.2899444632930681</x:v>
      </x:c>
      <x:c r="D170" s="10" t="n">
        <x:v>1</x:v>
      </x:c>
      <x:c r="E170" s="11" t="n">
        <x:f>IF(B170&lt;=$B$7,-LN(C170)/$B$8,-LN(C170)/$B$9)</x:f>
        <x:v>5.279271986933337</x:v>
      </x:c>
      <x:c r="F170" s="13"/>
      <x:c r="G170" s="13"/>
      <x:c r="H170" s="13"/>
      <x:c r="I170" s="13"/>
      <x:c r="J170" s="13"/>
      <x:c r="K170" s="13"/>
      <x:c r="L170" s="13"/>
      <x:c r="M170" s="13"/>
      <x:c r="N170" s="13"/>
      <x:c r="O170" s="13"/>
    </x:row>
    <x:row r="171">
      <x:c r="A171" s="10" t="n">
        <x:v>160</x:v>
      </x:c>
      <x:c r="B171" s="16" t="n">
        <x:v>0.04363709094468504</x:v>
      </x:c>
      <x:c r="C171" s="16" t="n">
        <x:v>0.2646788986166939</x:v>
      </x:c>
      <x:c r="D171" s="10" t="n">
        <x:v>1</x:v>
      </x:c>
      <x:c r="E171" s="11" t="n">
        <x:f>IF(B171&lt;=$B$7,-LN(C171)/$B$8,-LN(C171)/$B$9)</x:f>
        <x:v>5.668041155309703</x:v>
      </x:c>
      <x:c r="F171" s="13"/>
      <x:c r="G171" s="13"/>
      <x:c r="H171" s="13"/>
      <x:c r="I171" s="13"/>
      <x:c r="J171" s="13"/>
      <x:c r="K171" s="13"/>
      <x:c r="L171" s="13"/>
      <x:c r="M171" s="13"/>
      <x:c r="N171" s="13"/>
      <x:c r="O171" s="13"/>
    </x:row>
    <x:row r="172">
      <x:c r="A172" s="10" t="n">
        <x:v>161</x:v>
      </x:c>
      <x:c r="B172" s="16" t="n">
        <x:v>0.8795941491844133</x:v>
      </x:c>
      <x:c r="C172" s="16" t="n">
        <x:v>0.6870453822193667</x:v>
      </x:c>
      <x:c r="D172" s="10" t="n">
        <x:v>1</x:v>
      </x:c>
      <x:c r="E172" s="11" t="n">
        <x:f>IF(B172&lt;=$B$7,-LN(C172)/$B$8,-LN(C172)/$B$9)</x:f>
        <x:v>1.600561650923045</x:v>
      </x:c>
      <x:c r="F172" s="13"/>
      <x:c r="G172" s="13"/>
      <x:c r="H172" s="13"/>
      <x:c r="I172" s="13"/>
      <x:c r="J172" s="13"/>
      <x:c r="K172" s="13"/>
      <x:c r="L172" s="13"/>
      <x:c r="M172" s="13"/>
      <x:c r="N172" s="13"/>
      <x:c r="O172" s="13"/>
    </x:row>
    <x:row r="173">
      <x:c r="A173" s="10" t="n">
        <x:v>162</x:v>
      </x:c>
      <x:c r="B173" s="16" t="n">
        <x:v>0.45071288815233856</x:v>
      </x:c>
      <x:c r="C173" s="16" t="n">
        <x:v>0.106025968096219</x:v>
      </x:c>
      <x:c r="D173" s="10" t="n">
        <x:v>1</x:v>
      </x:c>
      <x:c r="E173" s="11" t="n">
        <x:f>IF(B173&lt;=$B$7,-LN(C173)/$B$8,-LN(C173)/$B$9)</x:f>
        <x:v>9.569008067653694</x:v>
      </x:c>
      <x:c r="F173" s="13"/>
      <x:c r="G173" s="13"/>
      <x:c r="H173" s="13"/>
      <x:c r="I173" s="13"/>
      <x:c r="J173" s="13"/>
      <x:c r="K173" s="13"/>
      <x:c r="L173" s="13"/>
      <x:c r="M173" s="13"/>
      <x:c r="N173" s="13"/>
      <x:c r="O173" s="13"/>
    </x:row>
    <x:row r="174">
      <x:c r="A174" s="10" t="n">
        <x:v>163</x:v>
      </x:c>
      <x:c r="B174" s="16" t="n">
        <x:v>0.11041955568362027</x:v>
      </x:c>
      <x:c r="C174" s="16" t="n">
        <x:v>0.34679847478400916</x:v>
      </x:c>
      <x:c r="D174" s="10" t="n">
        <x:v>1</x:v>
      </x:c>
      <x:c r="E174" s="11" t="n">
        <x:f>IF(B174&lt;=$B$7,-LN(C174)/$B$8,-LN(C174)/$B$9)</x:f>
        <x:v>4.5157608140096395</x:v>
      </x:c>
      <x:c r="F174" s="13"/>
      <x:c r="G174" s="13"/>
      <x:c r="H174" s="13"/>
      <x:c r="I174" s="13"/>
      <x:c r="J174" s="13"/>
      <x:c r="K174" s="13"/>
      <x:c r="L174" s="13"/>
      <x:c r="M174" s="13"/>
      <x:c r="N174" s="13"/>
      <x:c r="O174" s="13"/>
    </x:row>
    <x:row r="175">
      <x:c r="A175" s="10" t="n">
        <x:v>164</x:v>
      </x:c>
      <x:c r="B175" s="16" t="n">
        <x:v>0.9671140495920554</x:v>
      </x:c>
      <x:c r="C175" s="16" t="n">
        <x:v>0.7492714127292857</x:v>
      </x:c>
      <x:c r="D175" s="10" t="n">
        <x:v>2</x:v>
      </x:c>
      <x:c r="E175" s="11" t="n">
        <x:f>IF(B175&lt;=$B$7,-LN(C175)/$B$8,-LN(C175)/$B$9)</x:f>
        <x:v>19.453901934604968</x:v>
      </x:c>
      <x:c r="F175" s="13"/>
      <x:c r="G175" s="13"/>
      <x:c r="H175" s="13"/>
      <x:c r="I175" s="13"/>
      <x:c r="J175" s="13"/>
      <x:c r="K175" s="13"/>
      <x:c r="L175" s="13"/>
      <x:c r="M175" s="13"/>
      <x:c r="N175" s="13"/>
      <x:c r="O175" s="13"/>
    </x:row>
    <x:row r="176">
      <x:c r="A176" s="10" t="n">
        <x:v>165</x:v>
      </x:c>
      <x:c r="B176" s="16" t="n">
        <x:v>0.2341474109562114</x:v>
      </x:c>
      <x:c r="C176" s="16" t="n">
        <x:v>0.45509608450811356</x:v>
      </x:c>
      <x:c r="D176" s="10" t="n">
        <x:v>1</x:v>
      </x:c>
      <x:c r="E176" s="11" t="n">
        <x:f>IF(B176&lt;=$B$7,-LN(C176)/$B$8,-LN(C176)/$B$9)</x:f>
        <x:v>3.3569211110011743</x:v>
      </x:c>
      <x:c r="F176" s="13"/>
      <x:c r="G176" s="13"/>
      <x:c r="H176" s="13"/>
      <x:c r="I176" s="13"/>
      <x:c r="J176" s="13"/>
      <x:c r="K176" s="13"/>
      <x:c r="L176" s="13"/>
      <x:c r="M176" s="13"/>
      <x:c r="N176" s="13"/>
      <x:c r="O176" s="13"/>
    </x:row>
    <x:row r="177">
      <x:c r="A177" s="10" t="n">
        <x:v>166</x:v>
      </x:c>
      <x:c r="B177" s="16" t="n">
        <x:v>0.04594006447587162</x:v>
      </x:c>
      <x:c r="C177" s="16" t="n">
        <x:v>0.6216958969598636</x:v>
      </x:c>
      <x:c r="D177" s="10" t="n">
        <x:v>1</x:v>
      </x:c>
      <x:c r="E177" s="11" t="n">
        <x:f>IF(B177&lt;=$B$7,-LN(C177)/$B$8,-LN(C177)/$B$9)</x:f>
        <x:v>2.0267582529115478</x:v>
      </x:c>
      <x:c r="F177" s="13"/>
      <x:c r="G177" s="13"/>
      <x:c r="H177" s="13"/>
      <x:c r="I177" s="13"/>
      <x:c r="J177" s="13"/>
      <x:c r="K177" s="13"/>
      <x:c r="L177" s="13"/>
      <x:c r="M177" s="13"/>
      <x:c r="N177" s="13"/>
      <x:c r="O177" s="13"/>
    </x:row>
    <x:row r="178">
      <x:c r="A178" s="10" t="n">
        <x:v>167</x:v>
      </x:c>
      <x:c r="B178" s="16" t="n">
        <x:v>0.598761313711293</x:v>
      </x:c>
      <x:c r="C178" s="16" t="n">
        <x:v>0.41157948679756373</x:v>
      </x:c>
      <x:c r="D178" s="10" t="n">
        <x:v>1</x:v>
      </x:c>
      <x:c r="E178" s="11" t="n">
        <x:f>IF(B178&lt;=$B$7,-LN(C178)/$B$8,-LN(C178)/$B$9)</x:f>
        <x:v>3.7854933414929186</x:v>
      </x:c>
      <x:c r="F178" s="13"/>
      <x:c r="G178" s="13"/>
      <x:c r="H178" s="13"/>
      <x:c r="I178" s="13"/>
      <x:c r="J178" s="13"/>
      <x:c r="K178" s="13"/>
      <x:c r="L178" s="13"/>
      <x:c r="M178" s="13"/>
      <x:c r="N178" s="13"/>
      <x:c r="O178" s="13"/>
    </x:row>
    <x:row r="179">
      <x:c r="A179" s="10" t="n">
        <x:v>168</x:v>
      </x:c>
      <x:c r="B179" s="16" t="n">
        <x:v>0.5811359115177765</x:v>
      </x:c>
      <x:c r="C179" s="16" t="n">
        <x:v>0.4889933237573132</x:v>
      </x:c>
      <x:c r="D179" s="10" t="n">
        <x:v>1</x:v>
      </x:c>
      <x:c r="E179" s="11" t="n">
        <x:f>IF(B179&lt;=$B$7,-LN(C179)/$B$8,-LN(C179)/$B$9)</x:f>
        <x:v>3.0505849900305324</x:v>
      </x:c>
      <x:c r="F179" s="13"/>
      <x:c r="G179" s="13"/>
      <x:c r="H179" s="13"/>
      <x:c r="I179" s="13"/>
      <x:c r="J179" s="13"/>
      <x:c r="K179" s="13"/>
      <x:c r="L179" s="13"/>
      <x:c r="M179" s="13"/>
      <x:c r="N179" s="13"/>
      <x:c r="O179" s="13"/>
    </x:row>
    <x:row r="180">
      <x:c r="A180" s="10" t="n">
        <x:v>169</x:v>
      </x:c>
      <x:c r="B180" s="16" t="n">
        <x:v>0.8481013384880498</x:v>
      </x:c>
      <x:c r="C180" s="16" t="n">
        <x:v>0.11632101784925908</x:v>
      </x:c>
      <x:c r="D180" s="10" t="n">
        <x:v>1</x:v>
      </x:c>
      <x:c r="E180" s="11" t="n">
        <x:f>IF(B180&lt;=$B$7,-LN(C180)/$B$8,-LN(C180)/$B$9)</x:f>
        <x:v>9.173852483284161</x:v>
      </x:c>
      <x:c r="F180" s="13"/>
      <x:c r="G180" s="13"/>
      <x:c r="H180" s="13"/>
      <x:c r="I180" s="13"/>
      <x:c r="J180" s="13"/>
      <x:c r="K180" s="13"/>
      <x:c r="L180" s="13"/>
      <x:c r="M180" s="13"/>
      <x:c r="N180" s="13"/>
      <x:c r="O180" s="13"/>
    </x:row>
    <x:row r="181">
      <x:c r="A181" s="10" t="n">
        <x:v>170</x:v>
      </x:c>
      <x:c r="B181" s="16" t="n">
        <x:v>0.47810973471496254</x:v>
      </x:c>
      <x:c r="C181" s="16" t="n">
        <x:v>0.8420506197726354</x:v>
      </x:c>
      <x:c r="D181" s="10" t="n">
        <x:v>1</x:v>
      </x:c>
      <x:c r="E181" s="11" t="n">
        <x:f>IF(B181&lt;=$B$7,-LN(C181)/$B$8,-LN(C181)/$B$9)</x:f>
        <x:v>0.733068279915833</x:v>
      </x:c>
      <x:c r="F181" s="13"/>
      <x:c r="G181" s="13"/>
      <x:c r="H181" s="13"/>
      <x:c r="I181" s="13"/>
      <x:c r="J181" s="13"/>
      <x:c r="K181" s="13"/>
      <x:c r="L181" s="13"/>
      <x:c r="M181" s="13"/>
      <x:c r="N181" s="13"/>
      <x:c r="O181" s="13"/>
    </x:row>
    <x:row r="182">
      <x:c r="A182" s="10" t="n">
        <x:v>171</x:v>
      </x:c>
      <x:c r="B182" s="16" t="n">
        <x:v>0.5437512426869944</x:v>
      </x:c>
      <x:c r="C182" s="16" t="n">
        <x:v>0.7731077660573646</x:v>
      </x:c>
      <x:c r="D182" s="10" t="n">
        <x:v>1</x:v>
      </x:c>
      <x:c r="E182" s="11" t="n">
        <x:f>IF(B182&lt;=$B$7,-LN(C182)/$B$8,-LN(C182)/$B$9)</x:f>
        <x:v>1.0973172959398347</x:v>
      </x:c>
      <x:c r="F182" s="13"/>
      <x:c r="G182" s="13"/>
      <x:c r="H182" s="13"/>
      <x:c r="I182" s="13"/>
      <x:c r="J182" s="13"/>
      <x:c r="K182" s="13"/>
      <x:c r="L182" s="13"/>
      <x:c r="M182" s="13"/>
      <x:c r="N182" s="13"/>
      <x:c r="O182" s="13"/>
    </x:row>
    <x:row r="183">
      <x:c r="A183" s="10" t="n">
        <x:v>172</x:v>
      </x:c>
      <x:c r="B183" s="16" t="n">
        <x:v>0.4401708316290751</x:v>
      </x:c>
      <x:c r="C183" s="16" t="n">
        <x:v>0.5893915829947218</x:v>
      </x:c>
      <x:c r="D183" s="10" t="n">
        <x:v>1</x:v>
      </x:c>
      <x:c r="E183" s="11" t="n">
        <x:f>IF(B183&lt;=$B$7,-LN(C183)/$B$8,-LN(C183)/$B$9)</x:f>
        <x:v>2.254293308637757</x:v>
      </x:c>
      <x:c r="F183" s="13"/>
      <x:c r="G183" s="13"/>
      <x:c r="H183" s="13"/>
      <x:c r="I183" s="13"/>
      <x:c r="J183" s="13"/>
      <x:c r="K183" s="13"/>
      <x:c r="L183" s="13"/>
      <x:c r="M183" s="13"/>
      <x:c r="N183" s="13"/>
      <x:c r="O183" s="13"/>
    </x:row>
    <x:row r="184">
      <x:c r="A184" s="10" t="n">
        <x:v>173</x:v>
      </x:c>
      <x:c r="B184" s="16" t="n">
        <x:v>0.26055848610121757</x:v>
      </x:c>
      <x:c r="C184" s="16" t="n">
        <x:v>0.3499518259195611</x:v>
      </x:c>
      <x:c r="D184" s="10" t="n">
        <x:v>1</x:v>
      </x:c>
      <x:c r="E184" s="11" t="n">
        <x:f>IF(B184&lt;=$B$7,-LN(C184)/$B$8,-LN(C184)/$B$9)</x:f>
        <x:v>4.477163381914071</x:v>
      </x:c>
      <x:c r="F184" s="13"/>
      <x:c r="G184" s="13"/>
      <x:c r="H184" s="13"/>
      <x:c r="I184" s="13"/>
      <x:c r="J184" s="13"/>
      <x:c r="K184" s="13"/>
      <x:c r="L184" s="13"/>
      <x:c r="M184" s="13"/>
      <x:c r="N184" s="13"/>
      <x:c r="O184" s="13"/>
    </x:row>
    <x:row r="185">
      <x:c r="A185" s="10" t="n">
        <x:v>174</x:v>
      </x:c>
      <x:c r="B185" s="16" t="n">
        <x:v>0.7989129541674629</x:v>
      </x:c>
      <x:c r="C185" s="16" t="n">
        <x:v>0.8209097929066047</x:v>
      </x:c>
      <x:c r="D185" s="10" t="n">
        <x:v>1</x:v>
      </x:c>
      <x:c r="E185" s="11" t="n">
        <x:f>IF(B185&lt;=$B$7,-LN(C185)/$B$8,-LN(C185)/$B$9)</x:f>
        <x:v>0.8414918577653165</x:v>
      </x:c>
      <x:c r="F185" s="13"/>
      <x:c r="G185" s="13"/>
      <x:c r="H185" s="13"/>
      <x:c r="I185" s="13"/>
      <x:c r="J185" s="13"/>
      <x:c r="K185" s="13"/>
      <x:c r="L185" s="13"/>
      <x:c r="M185" s="13"/>
      <x:c r="N185" s="13"/>
      <x:c r="O185" s="13"/>
    </x:row>
    <x:row r="186">
      <x:c r="A186" s="10" t="n">
        <x:v>175</x:v>
      </x:c>
      <x:c r="B186" s="16" t="n">
        <x:v>0.10891206294763833</x:v>
      </x:c>
      <x:c r="C186" s="16" t="n">
        <x:v>0.0874521144432947</x:v>
      </x:c>
      <x:c r="D186" s="10" t="n">
        <x:v>1</x:v>
      </x:c>
      <x:c r="E186" s="11" t="n">
        <x:f>IF(B186&lt;=$B$7,-LN(C186)/$B$8,-LN(C186)/$B$9)</x:f>
        <x:v>10.39024794126232</x:v>
      </x:c>
      <x:c r="F186" s="13"/>
      <x:c r="G186" s="13"/>
      <x:c r="H186" s="13"/>
      <x:c r="I186" s="13"/>
      <x:c r="J186" s="13"/>
      <x:c r="K186" s="13"/>
      <x:c r="L186" s="13"/>
      <x:c r="M186" s="13"/>
      <x:c r="N186" s="13"/>
      <x:c r="O186" s="13"/>
    </x:row>
    <x:row r="187">
      <x:c r="A187" s="10" t="n">
        <x:v>176</x:v>
      </x:c>
      <x:c r="B187" s="16" t="n">
        <x:v>0.4666679218644276</x:v>
      </x:c>
      <x:c r="C187" s="16" t="n">
        <x:v>0.6585155831417069</x:v>
      </x:c>
      <x:c r="D187" s="10" t="n">
        <x:v>1</x:v>
      </x:c>
      <x:c r="E187" s="11" t="n">
        <x:f>IF(B187&lt;=$B$7,-LN(C187)/$B$8,-LN(C187)/$B$9)</x:f>
        <x:v>1.7814125636348226</x:v>
      </x:c>
      <x:c r="F187" s="13"/>
      <x:c r="G187" s="13"/>
      <x:c r="H187" s="13"/>
      <x:c r="I187" s="13"/>
      <x:c r="J187" s="13"/>
      <x:c r="K187" s="13"/>
      <x:c r="L187" s="13"/>
      <x:c r="M187" s="13"/>
      <x:c r="N187" s="13"/>
      <x:c r="O187" s="13"/>
    </x:row>
    <x:row r="188">
      <x:c r="A188" s="10" t="n">
        <x:v>177</x:v>
      </x:c>
      <x:c r="B188" s="16" t="n">
        <x:v>0.8869031463982537</x:v>
      </x:c>
      <x:c r="C188" s="16" t="n">
        <x:v>0.6956327500520274</x:v>
      </x:c>
      <x:c r="D188" s="10" t="n">
        <x:v>1</x:v>
      </x:c>
      <x:c r="E188" s="11" t="n">
        <x:f>IF(B188&lt;=$B$7,-LN(C188)/$B$8,-LN(C188)/$B$9)</x:f>
        <x:v>1.5475947170295614</x:v>
      </x:c>
      <x:c r="F188" s="13"/>
      <x:c r="G188" s="13"/>
      <x:c r="H188" s="13"/>
      <x:c r="I188" s="13"/>
      <x:c r="J188" s="13"/>
      <x:c r="K188" s="13"/>
      <x:c r="L188" s="13"/>
      <x:c r="M188" s="13"/>
      <x:c r="N188" s="13"/>
      <x:c r="O188" s="13"/>
    </x:row>
    <x:row r="189">
      <x:c r="A189" s="10" t="n">
        <x:v>178</x:v>
      </x:c>
      <x:c r="B189" s="16" t="n">
        <x:v>0.3391545476624742</x:v>
      </x:c>
      <x:c r="C189" s="16" t="n">
        <x:v>0.45932207664009184</x:v>
      </x:c>
      <x:c r="D189" s="10" t="n">
        <x:v>1</x:v>
      </x:c>
      <x:c r="E189" s="11" t="n">
        <x:f>IF(B189&lt;=$B$7,-LN(C189)/$B$8,-LN(C189)/$B$9)</x:f>
        <x:v>3.317507410593803</x:v>
      </x:c>
      <x:c r="F189" s="13"/>
      <x:c r="G189" s="13"/>
      <x:c r="H189" s="13"/>
      <x:c r="I189" s="13"/>
      <x:c r="J189" s="13"/>
      <x:c r="K189" s="13"/>
      <x:c r="L189" s="13"/>
      <x:c r="M189" s="13"/>
      <x:c r="N189" s="13"/>
      <x:c r="O189" s="13"/>
    </x:row>
    <x:row r="190">
      <x:c r="A190" s="10" t="n">
        <x:v>179</x:v>
      </x:c>
      <x:c r="B190" s="16" t="n">
        <x:v>0.315493545611389</x:v>
      </x:c>
      <x:c r="C190" s="16" t="n">
        <x:v>0.12988299399148673</x:v>
      </x:c>
      <x:c r="D190" s="10" t="n">
        <x:v>1</x:v>
      </x:c>
      <x:c r="E190" s="11" t="n">
        <x:f>IF(B190&lt;=$B$7,-LN(C190)/$B$8,-LN(C190)/$B$9)</x:f>
        <x:v>8.703603392755008</x:v>
      </x:c>
      <x:c r="F190" s="13"/>
      <x:c r="G190" s="13"/>
      <x:c r="H190" s="13"/>
      <x:c r="I190" s="13"/>
      <x:c r="J190" s="13"/>
      <x:c r="K190" s="13"/>
      <x:c r="L190" s="13"/>
      <x:c r="M190" s="13"/>
      <x:c r="N190" s="13"/>
      <x:c r="O190" s="13"/>
    </x:row>
    <x:row r="191">
      <x:c r="A191" s="10" t="n">
        <x:v>180</x:v>
      </x:c>
      <x:c r="B191" s="16" t="n">
        <x:v>0.7264478761935607</x:v>
      </x:c>
      <x:c r="C191" s="16" t="n">
        <x:v>0.8869952833047137</x:v>
      </x:c>
      <x:c r="D191" s="10" t="n">
        <x:v>1</x:v>
      </x:c>
      <x:c r="E191" s="11" t="n">
        <x:f>IF(B191&lt;=$B$7,-LN(C191)/$B$8,-LN(C191)/$B$9)</x:f>
        <x:v>0.5113355866723142</x:v>
      </x:c>
      <x:c r="F191" s="13"/>
      <x:c r="G191" s="13"/>
      <x:c r="H191" s="13"/>
      <x:c r="I191" s="13"/>
      <x:c r="J191" s="13"/>
      <x:c r="K191" s="13"/>
      <x:c r="L191" s="13"/>
      <x:c r="M191" s="13"/>
      <x:c r="N191" s="13"/>
      <x:c r="O191" s="13"/>
    </x:row>
    <x:row r="192">
      <x:c r="A192" s="10" t="n">
        <x:v>181</x:v>
      </x:c>
      <x:c r="B192" s="16" t="n">
        <x:v>0.05981697526294738</x:v>
      </x:c>
      <x:c r="C192" s="16" t="n">
        <x:v>0.08662375423591584</x:v>
      </x:c>
      <x:c r="D192" s="10" t="n">
        <x:v>1</x:v>
      </x:c>
      <x:c r="E192" s="11" t="n">
        <x:f>IF(B192&lt;=$B$7,-LN(C192)/$B$8,-LN(C192)/$B$9)</x:f>
        <x:v>10.43083094734577</x:v>
      </x:c>
      <x:c r="F192" s="13"/>
      <x:c r="G192" s="13"/>
      <x:c r="H192" s="13"/>
      <x:c r="I192" s="13"/>
      <x:c r="J192" s="13"/>
      <x:c r="K192" s="13"/>
      <x:c r="L192" s="13"/>
      <x:c r="M192" s="13"/>
      <x:c r="N192" s="13"/>
      <x:c r="O192" s="13"/>
    </x:row>
    <x:row r="193">
      <x:c r="A193" s="10" t="n">
        <x:v>182</x:v>
      </x:c>
      <x:c r="B193" s="16" t="n">
        <x:v>0.6403937345603481</x:v>
      </x:c>
      <x:c r="C193" s="16" t="n">
        <x:v>0.6168932601576671</x:v>
      </x:c>
      <x:c r="D193" s="10" t="n">
        <x:v>1</x:v>
      </x:c>
      <x:c r="E193" s="11" t="n">
        <x:f>IF(B193&lt;=$B$7,-LN(C193)/$B$8,-LN(C193)/$B$9)</x:f>
        <x:v>2.0598267856240917</x:v>
      </x:c>
      <x:c r="F193" s="13"/>
      <x:c r="G193" s="13"/>
      <x:c r="H193" s="13"/>
      <x:c r="I193" s="13"/>
      <x:c r="J193" s="13"/>
      <x:c r="K193" s="13"/>
      <x:c r="L193" s="13"/>
      <x:c r="M193" s="13"/>
      <x:c r="N193" s="13"/>
      <x:c r="O193" s="13"/>
    </x:row>
    <x:row r="194">
      <x:c r="A194" s="10" t="n">
        <x:v>183</x:v>
      </x:c>
      <x:c r="B194" s="16" t="n">
        <x:v>0.4897381375776604</x:v>
      </x:c>
      <x:c r="C194" s="16" t="n">
        <x:v>0.6093256518943235</x:v>
      </x:c>
      <x:c r="D194" s="10" t="n">
        <x:v>1</x:v>
      </x:c>
      <x:c r="E194" s="11" t="n">
        <x:f>IF(B194&lt;=$B$7,-LN(C194)/$B$8,-LN(C194)/$B$9)</x:f>
        <x:v>2.1124595795563383</x:v>
      </x:c>
      <x:c r="F194" s="13"/>
      <x:c r="G194" s="13"/>
      <x:c r="H194" s="13"/>
      <x:c r="I194" s="13"/>
      <x:c r="J194" s="13"/>
      <x:c r="K194" s="13"/>
      <x:c r="L194" s="13"/>
      <x:c r="M194" s="13"/>
      <x:c r="N194" s="13"/>
      <x:c r="O194" s="13"/>
    </x:row>
    <x:row r="195">
      <x:c r="A195" s="10" t="n">
        <x:v>184</x:v>
      </x:c>
      <x:c r="B195" s="16" t="n">
        <x:v>0.016593595617450774</x:v>
      </x:c>
      <x:c r="C195" s="16" t="n">
        <x:v>0.6906193339964375</x:v>
      </x:c>
      <x:c r="D195" s="10" t="n">
        <x:v>1</x:v>
      </x:c>
      <x:c r="E195" s="11" t="n">
        <x:f>IF(B195&lt;=$B$7,-LN(C195)/$B$8,-LN(C195)/$B$9)</x:f>
        <x:v>1.5784375105758328</x:v>
      </x:c>
      <x:c r="F195" s="13"/>
      <x:c r="G195" s="13"/>
      <x:c r="H195" s="13"/>
      <x:c r="I195" s="13"/>
      <x:c r="J195" s="13"/>
      <x:c r="K195" s="13"/>
      <x:c r="L195" s="13"/>
      <x:c r="M195" s="13"/>
      <x:c r="N195" s="13"/>
      <x:c r="O195" s="13"/>
    </x:row>
    <x:row r="196">
      <x:c r="A196" s="10" t="n">
        <x:v>185</x:v>
      </x:c>
      <x:c r="B196" s="16" t="n">
        <x:v>0.38279461686033756</x:v>
      </x:c>
      <x:c r="C196" s="16" t="n">
        <x:v>0.4455036501167342</x:v>
      </x:c>
      <x:c r="D196" s="10" t="n">
        <x:v>1</x:v>
      </x:c>
      <x:c r="E196" s="11" t="n">
        <x:f>IF(B196&lt;=$B$7,-LN(C196)/$B$8,-LN(C196)/$B$9)</x:f>
        <x:v>3.4477603996645163</x:v>
      </x:c>
      <x:c r="F196" s="13"/>
      <x:c r="G196" s="13"/>
      <x:c r="H196" s="13"/>
      <x:c r="I196" s="13"/>
      <x:c r="J196" s="13"/>
      <x:c r="K196" s="13"/>
      <x:c r="L196" s="13"/>
      <x:c r="M196" s="13"/>
      <x:c r="N196" s="13"/>
      <x:c r="O196" s="13"/>
    </x:row>
    <x:row r="197">
      <x:c r="A197" s="10" t="n">
        <x:v>186</x:v>
      </x:c>
      <x:c r="B197" s="16" t="n">
        <x:v>0.19908475375268608</x:v>
      </x:c>
      <x:c r="C197" s="16" t="n">
        <x:v>0.7856143865501508</x:v>
      </x:c>
      <x:c r="D197" s="10" t="n">
        <x:v>1</x:v>
      </x:c>
      <x:c r="E197" s="11" t="n">
        <x:f>IF(B197&lt;=$B$7,-LN(C197)/$B$8,-LN(C197)/$B$9)</x:f>
        <x:v>1.0288881906076408</x:v>
      </x:c>
      <x:c r="F197" s="13"/>
      <x:c r="G197" s="13"/>
      <x:c r="H197" s="13"/>
      <x:c r="I197" s="13"/>
      <x:c r="J197" s="13"/>
      <x:c r="K197" s="13"/>
      <x:c r="L197" s="13"/>
      <x:c r="M197" s="13"/>
      <x:c r="N197" s="13"/>
      <x:c r="O197" s="13"/>
    </x:row>
    <x:row r="198">
      <x:c r="A198" s="10" t="n">
        <x:v>187</x:v>
      </x:c>
      <x:c r="B198" s="16" t="n">
        <x:v>0.022646586527116597</x:v>
      </x:c>
      <x:c r="C198" s="16" t="n">
        <x:v>0.045313245500437915</x:v>
      </x:c>
      <x:c r="D198" s="10" t="n">
        <x:v>1</x:v>
      </x:c>
      <x:c r="E198" s="11" t="n">
        <x:f>IF(B198&lt;=$B$7,-LN(C198)/$B$8,-LN(C198)/$B$9)</x:f>
        <x:v>13.193878286847852</x:v>
      </x:c>
      <x:c r="F198" s="13"/>
      <x:c r="G198" s="13"/>
      <x:c r="H198" s="13"/>
      <x:c r="I198" s="13"/>
      <x:c r="J198" s="13"/>
      <x:c r="K198" s="13"/>
      <x:c r="L198" s="13"/>
      <x:c r="M198" s="13"/>
      <x:c r="N198" s="13"/>
      <x:c r="O198" s="13"/>
    </x:row>
    <x:row r="199">
      <x:c r="A199" s="10" t="n">
        <x:v>188</x:v>
      </x:c>
      <x:c r="B199" s="16" t="n">
        <x:v>0.26584081316832453</x:v>
      </x:c>
      <x:c r="C199" s="16" t="n">
        <x:v>0.9154132021358237</x:v>
      </x:c>
      <x:c r="D199" s="10" t="n">
        <x:v>1</x:v>
      </x:c>
      <x:c r="E199" s="11" t="n">
        <x:f>IF(B199&lt;=$B$7,-LN(C199)/$B$8,-LN(C199)/$B$9)</x:f>
        <x:v>0.37686251830605777</x:v>
      </x:c>
      <x:c r="F199" s="13"/>
      <x:c r="G199" s="13"/>
      <x:c r="H199" s="13"/>
      <x:c r="I199" s="13"/>
      <x:c r="J199" s="13"/>
      <x:c r="K199" s="13"/>
      <x:c r="L199" s="13"/>
      <x:c r="M199" s="13"/>
      <x:c r="N199" s="13"/>
      <x:c r="O199" s="13"/>
    </x:row>
    <x:row r="200">
      <x:c r="A200" s="10" t="n">
        <x:v>189</x:v>
      </x:c>
      <x:c r="B200" s="16" t="n">
        <x:v>0.3961593286367133</x:v>
      </x:c>
      <x:c r="C200" s="16" t="n">
        <x:v>0.3423732219962403</x:v>
      </x:c>
      <x:c r="D200" s="10" t="n">
        <x:v>1</x:v>
      </x:c>
      <x:c r="E200" s="11" t="n">
        <x:f>IF(B200&lt;=$B$7,-LN(C200)/$B$8,-LN(C200)/$B$9)</x:f>
        <x:v>4.570522510992422</x:v>
      </x:c>
      <x:c r="F200" s="13"/>
      <x:c r="G200" s="13"/>
      <x:c r="H200" s="13"/>
      <x:c r="I200" s="13"/>
      <x:c r="J200" s="13"/>
      <x:c r="K200" s="13"/>
      <x:c r="L200" s="13"/>
      <x:c r="M200" s="13"/>
      <x:c r="N200" s="13"/>
      <x:c r="O200" s="13"/>
    </x:row>
    <x:row r="201">
      <x:c r="A201" s="10" t="n">
        <x:v>190</x:v>
      </x:c>
      <x:c r="B201" s="16" t="n">
        <x:v>0.023217488662339747</x:v>
      </x:c>
      <x:c r="C201" s="16" t="n">
        <x:v>0.3261898778146133</x:v>
      </x:c>
      <x:c r="D201" s="10" t="n">
        <x:v>1</x:v>
      </x:c>
      <x:c r="E201" s="11" t="n">
        <x:f>IF(B201&lt;=$B$7,-LN(C201)/$B$8,-LN(C201)/$B$9)</x:f>
        <x:v>4.77699918249378</x:v>
      </x:c>
      <x:c r="F201" s="13"/>
      <x:c r="G201" s="13"/>
      <x:c r="H201" s="13"/>
      <x:c r="I201" s="13"/>
      <x:c r="J201" s="13"/>
      <x:c r="K201" s="13"/>
      <x:c r="L201" s="13"/>
      <x:c r="M201" s="13"/>
      <x:c r="N201" s="13"/>
      <x:c r="O201" s="13"/>
    </x:row>
    <x:row r="202">
      <x:c r="A202" s="10" t="n">
        <x:v>191</x:v>
      </x:c>
      <x:c r="B202" s="16" t="n">
        <x:v>0.4422435659216717</x:v>
      </x:c>
      <x:c r="C202" s="16" t="n">
        <x:v>0.7074399673147127</x:v>
      </x:c>
      <x:c r="D202" s="10" t="n">
        <x:v>1</x:v>
      </x:c>
      <x:c r="E202" s="11" t="n">
        <x:f>IF(B202&lt;=$B$7,-LN(C202)/$B$8,-LN(C202)/$B$9)</x:f>
        <x:v>1.4758255501555118</x:v>
      </x:c>
      <x:c r="F202" s="13"/>
      <x:c r="G202" s="13"/>
      <x:c r="H202" s="13"/>
      <x:c r="I202" s="13"/>
      <x:c r="J202" s="13"/>
      <x:c r="K202" s="13"/>
      <x:c r="L202" s="13"/>
      <x:c r="M202" s="13"/>
      <x:c r="N202" s="13"/>
      <x:c r="O202" s="13"/>
    </x:row>
    <x:row r="203">
      <x:c r="A203" s="10" t="n">
        <x:v>192</x:v>
      </x:c>
      <x:c r="B203" s="16" t="n">
        <x:v>0.7474687189096585</x:v>
      </x:c>
      <x:c r="C203" s="16" t="n">
        <x:v>0.6052172960480675</x:v>
      </x:c>
      <x:c r="D203" s="10" t="n">
        <x:v>1</x:v>
      </x:c>
      <x:c r="E203" s="11" t="n">
        <x:f>IF(B203&lt;=$B$7,-LN(C203)/$B$8,-LN(C203)/$B$9)</x:f>
        <x:v>2.1413076726439217</x:v>
      </x:c>
      <x:c r="F203" s="13"/>
      <x:c r="G203" s="13"/>
      <x:c r="H203" s="13"/>
      <x:c r="I203" s="13"/>
      <x:c r="J203" s="13"/>
      <x:c r="K203" s="13"/>
      <x:c r="L203" s="13"/>
      <x:c r="M203" s="13"/>
      <x:c r="N203" s="13"/>
      <x:c r="O203" s="13"/>
    </x:row>
    <x:row r="204">
      <x:c r="A204" s="10" t="n">
        <x:v>193</x:v>
      </x:c>
      <x:c r="B204" s="16" t="n">
        <x:v>0.5555786063196138</x:v>
      </x:c>
      <x:c r="C204" s="16" t="n">
        <x:v>0.715558351832442</x:v>
      </x:c>
      <x:c r="D204" s="10" t="n">
        <x:v>1</x:v>
      </x:c>
      <x:c r="E204" s="11" t="n">
        <x:f>IF(B204&lt;=$B$7,-LN(C204)/$B$8,-LN(C204)/$B$9)</x:f>
        <x:v>1.4271702428281186</x:v>
      </x:c>
      <x:c r="F204" s="13"/>
      <x:c r="G204" s="13"/>
      <x:c r="H204" s="13"/>
      <x:c r="I204" s="13"/>
      <x:c r="J204" s="13"/>
      <x:c r="K204" s="13"/>
      <x:c r="L204" s="13"/>
      <x:c r="M204" s="13"/>
      <x:c r="N204" s="13"/>
      <x:c r="O204" s="13"/>
    </x:row>
    <x:row r="205">
      <x:c r="A205" s="10" t="n">
        <x:v>194</x:v>
      </x:c>
      <x:c r="B205" s="16" t="n">
        <x:v>0.001458092243410647</x:v>
      </x:c>
      <x:c r="C205" s="16" t="n">
        <x:v>0.2668656598543748</x:v>
      </x:c>
      <x:c r="D205" s="10" t="n">
        <x:v>1</x:v>
      </x:c>
      <x:c r="E205" s="11" t="n">
        <x:f>IF(B205&lt;=$B$7,-LN(C205)/$B$8,-LN(C205)/$B$9)</x:f>
        <x:v>5.632955917985528</x:v>
      </x:c>
      <x:c r="F205" s="13"/>
      <x:c r="G205" s="13"/>
      <x:c r="H205" s="13"/>
      <x:c r="I205" s="13"/>
      <x:c r="J205" s="13"/>
      <x:c r="K205" s="13"/>
      <x:c r="L205" s="13"/>
      <x:c r="M205" s="13"/>
      <x:c r="N205" s="13"/>
      <x:c r="O205" s="13"/>
    </x:row>
    <x:row r="206">
      <x:c r="A206" s="10" t="n">
        <x:v>195</x:v>
      </x:c>
      <x:c r="B206" s="16" t="n">
        <x:v>0.7983433000044897</x:v>
      </x:c>
      <x:c r="C206" s="16" t="n">
        <x:v>0.6173141699982807</x:v>
      </x:c>
      <x:c r="D206" s="10" t="n">
        <x:v>1</x:v>
      </x:c>
      <x:c r="E206" s="11" t="n">
        <x:f>IF(B206&lt;=$B$7,-LN(C206)/$B$8,-LN(C206)/$B$9)</x:f>
        <x:v>2.0569183381995155</x:v>
      </x:c>
      <x:c r="F206" s="13"/>
      <x:c r="G206" s="13"/>
      <x:c r="H206" s="13"/>
      <x:c r="I206" s="13"/>
      <x:c r="J206" s="13"/>
      <x:c r="K206" s="13"/>
      <x:c r="L206" s="13"/>
      <x:c r="M206" s="13"/>
      <x:c r="N206" s="13"/>
      <x:c r="O206" s="13"/>
    </x:row>
    <x:row r="207">
      <x:c r="A207" s="10" t="n">
        <x:v>196</x:v>
      </x:c>
      <x:c r="B207" s="16" t="n">
        <x:v>0.10469058493617922</x:v>
      </x:c>
      <x:c r="C207" s="16" t="n">
        <x:v>0.33176509046461433</x:v>
      </x:c>
      <x:c r="D207" s="10" t="n">
        <x:v>1</x:v>
      </x:c>
      <x:c r="E207" s="11" t="n">
        <x:f>IF(B207&lt;=$B$7,-LN(C207)/$B$8,-LN(C207)/$B$9)</x:f>
        <x:v>4.704732862669173</x:v>
      </x:c>
      <x:c r="F207" s="13"/>
      <x:c r="G207" s="13"/>
      <x:c r="H207" s="13"/>
      <x:c r="I207" s="13"/>
      <x:c r="J207" s="13"/>
      <x:c r="K207" s="13"/>
      <x:c r="L207" s="13"/>
      <x:c r="M207" s="13"/>
      <x:c r="N207" s="13"/>
      <x:c r="O207" s="13"/>
    </x:row>
    <x:row r="208">
      <x:c r="A208" s="10" t="n">
        <x:v>197</x:v>
      </x:c>
      <x:c r="B208" s="16" t="n">
        <x:v>0.5230798089178279</x:v>
      </x:c>
      <x:c r="C208" s="16" t="n">
        <x:v>0.654813144239597</x:v>
      </x:c>
      <x:c r="D208" s="10" t="n">
        <x:v>1</x:v>
      </x:c>
      <x:c r="E208" s="11" t="n">
        <x:f>IF(B208&lt;=$B$7,-LN(C208)/$B$8,-LN(C208)/$B$9)</x:f>
        <x:v>1.8054548566019573</x:v>
      </x:c>
      <x:c r="F208" s="13"/>
      <x:c r="G208" s="13"/>
      <x:c r="H208" s="13"/>
      <x:c r="I208" s="13"/>
      <x:c r="J208" s="13"/>
      <x:c r="K208" s="13"/>
      <x:c r="L208" s="13"/>
      <x:c r="M208" s="13"/>
      <x:c r="N208" s="13"/>
      <x:c r="O208" s="13"/>
    </x:row>
    <x:row r="209">
      <x:c r="A209" s="10" t="n">
        <x:v>198</x:v>
      </x:c>
      <x:c r="B209" s="16" t="n">
        <x:v>0.08478961198125035</x:v>
      </x:c>
      <x:c r="C209" s="16" t="n">
        <x:v>0.6647572874790058</x:v>
      </x:c>
      <x:c r="D209" s="10" t="n">
        <x:v>1</x:v>
      </x:c>
      <x:c r="E209" s="11" t="n">
        <x:f>IF(B209&lt;=$B$7,-LN(C209)/$B$8,-LN(C209)/$B$9)</x:f>
        <x:v>1.7411855972327683</x:v>
      </x:c>
      <x:c r="F209" s="13"/>
      <x:c r="G209" s="13"/>
      <x:c r="H209" s="13"/>
      <x:c r="I209" s="13"/>
      <x:c r="J209" s="13"/>
      <x:c r="K209" s="13"/>
      <x:c r="L209" s="13"/>
      <x:c r="M209" s="13"/>
      <x:c r="N209" s="13"/>
      <x:c r="O209" s="13"/>
    </x:row>
    <x:row r="210">
      <x:c r="A210" s="10" t="n">
        <x:v>199</x:v>
      </x:c>
      <x:c r="B210" s="16" t="n">
        <x:v>0.35981518879998475</x:v>
      </x:c>
      <x:c r="C210" s="16" t="n">
        <x:v>0.6130114913685247</x:v>
      </x:c>
      <x:c r="D210" s="10" t="n">
        <x:v>1</x:v>
      </x:c>
      <x:c r="E210" s="11" t="n">
        <x:f>IF(B210&lt;=$B$7,-LN(C210)/$B$8,-LN(C210)/$B$9)</x:f>
        <x:v>2.0867433672685824</x:v>
      </x:c>
      <x:c r="F210" s="13"/>
      <x:c r="G210" s="13"/>
      <x:c r="H210" s="13"/>
      <x:c r="I210" s="13"/>
      <x:c r="J210" s="13"/>
      <x:c r="K210" s="13"/>
      <x:c r="L210" s="13"/>
      <x:c r="M210" s="13"/>
      <x:c r="N210" s="13"/>
      <x:c r="O210" s="13"/>
    </x:row>
    <x:row r="211">
      <x:c r="A211" s="10" t="n">
        <x:v>200</x:v>
      </x:c>
      <x:c r="B211" s="16" t="n">
        <x:v>0.18854439037386328</x:v>
      </x:c>
      <x:c r="C211" s="16" t="n">
        <x:v>0.08726125152315944</x:v>
      </x:c>
      <x:c r="D211" s="10" t="n">
        <x:v>1</x:v>
      </x:c>
      <x:c r="E211" s="11" t="n">
        <x:f>IF(B211&lt;=$B$7,-LN(C211)/$B$8,-LN(C211)/$B$9)</x:f>
        <x:v>10.399564507672126</x:v>
      </x:c>
      <x:c r="F211" s="13"/>
      <x:c r="G211" s="13"/>
      <x:c r="H211" s="13"/>
      <x:c r="I211" s="13"/>
      <x:c r="J211" s="13"/>
      <x:c r="K211" s="13"/>
      <x:c r="L211" s="13"/>
      <x:c r="M211" s="13"/>
      <x:c r="N211" s="13"/>
      <x:c r="O211" s="13"/>
    </x:row>
    <x:row r="212">
      <x:c r="A212" s="10" t="n">
        <x:v>201</x:v>
      </x:c>
      <x:c r="B212" s="16" t="n">
        <x:v>0.7705657837213948</x:v>
      </x:c>
      <x:c r="C212" s="16" t="n">
        <x:v>0.24702305148821324</x:v>
      </x:c>
      <x:c r="D212" s="10" t="n">
        <x:v>1</x:v>
      </x:c>
      <x:c r="E212" s="11" t="n">
        <x:f>IF(B212&lt;=$B$7,-LN(C212)/$B$8,-LN(C212)/$B$9)</x:f>
        <x:v>5.9624183773186</x:v>
      </x:c>
      <x:c r="F212" s="13"/>
      <x:c r="G212" s="13"/>
      <x:c r="H212" s="13"/>
      <x:c r="I212" s="13"/>
      <x:c r="J212" s="13"/>
      <x:c r="K212" s="13"/>
      <x:c r="L212" s="13"/>
      <x:c r="M212" s="13"/>
      <x:c r="N212" s="13"/>
      <x:c r="O212" s="13"/>
    </x:row>
    <x:row r="213">
      <x:c r="A213" s="10" t="n">
        <x:v>202</x:v>
      </x:c>
      <x:c r="B213" s="16" t="n">
        <x:v>0.2806526148924604</x:v>
      </x:c>
      <x:c r="C213" s="16" t="n">
        <x:v>0.5296780694043264</x:v>
      </x:c>
      <x:c r="D213" s="10" t="n">
        <x:v>1</x:v>
      </x:c>
      <x:c r="E213" s="11" t="n">
        <x:f>IF(B213&lt;=$B$7,-LN(C213)/$B$8,-LN(C213)/$B$9)</x:f>
        <x:v>2.7097934141385833</x:v>
      </x:c>
      <x:c r="F213" s="13"/>
      <x:c r="G213" s="13"/>
      <x:c r="H213" s="13"/>
      <x:c r="I213" s="13"/>
      <x:c r="J213" s="13"/>
      <x:c r="K213" s="13"/>
      <x:c r="L213" s="13"/>
      <x:c r="M213" s="13"/>
      <x:c r="N213" s="13"/>
      <x:c r="O213" s="13"/>
    </x:row>
    <x:row r="214">
      <x:c r="A214" s="10" t="n">
        <x:v>203</x:v>
      </x:c>
      <x:c r="B214" s="16" t="n">
        <x:v>0.6243494331138209</x:v>
      </x:c>
      <x:c r="C214" s="16" t="n">
        <x:v>0.4760279793990776</x:v>
      </x:c>
      <x:c r="D214" s="10" t="n">
        <x:v>1</x:v>
      </x:c>
      <x:c r="E214" s="11" t="n">
        <x:f>IF(B214&lt;=$B$7,-LN(C214)/$B$8,-LN(C214)/$B$9)</x:f>
        <x:v>3.165171519637911</x:v>
      </x:c>
      <x:c r="F214" s="13"/>
      <x:c r="G214" s="13"/>
      <x:c r="H214" s="13"/>
      <x:c r="I214" s="13"/>
      <x:c r="J214" s="13"/>
      <x:c r="K214" s="13"/>
      <x:c r="L214" s="13"/>
      <x:c r="M214" s="13"/>
      <x:c r="N214" s="13"/>
      <x:c r="O214" s="13"/>
    </x:row>
    <x:row r="215">
      <x:c r="A215" s="10" t="n">
        <x:v>204</x:v>
      </x:c>
      <x:c r="B215" s="16" t="n">
        <x:v>0.7082834463799372</x:v>
      </x:c>
      <x:c r="C215" s="16" t="n">
        <x:v>0.7394597617676482</x:v>
      </x:c>
      <x:c r="D215" s="10" t="n">
        <x:v>1</x:v>
      </x:c>
      <x:c r="E215" s="11" t="n">
        <x:f>IF(B215&lt;=$B$7,-LN(C215)/$B$8,-LN(C215)/$B$9)</x:f>
        <x:v>1.2870649742942615</x:v>
      </x:c>
      <x:c r="F215" s="13"/>
      <x:c r="G215" s="13"/>
      <x:c r="H215" s="13"/>
      <x:c r="I215" s="13"/>
      <x:c r="J215" s="13"/>
      <x:c r="K215" s="13"/>
      <x:c r="L215" s="13"/>
      <x:c r="M215" s="13"/>
      <x:c r="N215" s="13"/>
      <x:c r="O215" s="13"/>
    </x:row>
    <x:row r="216">
      <x:c r="A216" s="10" t="n">
        <x:v>205</x:v>
      </x:c>
      <x:c r="B216" s="16" t="n">
        <x:v>0.4958304913016036</x:v>
      </x:c>
      <x:c r="C216" s="16" t="n">
        <x:v>0.48440799850504845</x:v>
      </x:c>
      <x:c r="D216" s="10" t="n">
        <x:v>1</x:v>
      </x:c>
      <x:c r="E216" s="11" t="n">
        <x:f>IF(B216&lt;=$B$7,-LN(C216)/$B$8,-LN(C216)/$B$9)</x:f>
        <x:v>3.09075867831533</x:v>
      </x:c>
      <x:c r="F216" s="13"/>
      <x:c r="G216" s="13"/>
      <x:c r="H216" s="13"/>
      <x:c r="I216" s="13"/>
      <x:c r="J216" s="13"/>
      <x:c r="K216" s="13"/>
      <x:c r="L216" s="13"/>
      <x:c r="M216" s="13"/>
      <x:c r="N216" s="13"/>
      <x:c r="O216" s="13"/>
    </x:row>
    <x:row r="217">
      <x:c r="A217" s="10" t="n">
        <x:v>206</x:v>
      </x:c>
      <x:c r="B217" s="16" t="n">
        <x:v>0.4595858125248924</x:v>
      </x:c>
      <x:c r="C217" s="16" t="n">
        <x:v>0.310467193252407</x:v>
      </x:c>
      <x:c r="D217" s="10" t="n">
        <x:v>1</x:v>
      </x:c>
      <x:c r="E217" s="11" t="n">
        <x:f>IF(B217&lt;=$B$7,-LN(C217)/$B$8,-LN(C217)/$B$9)</x:f>
        <x:v>4.987653189457403</x:v>
      </x:c>
      <x:c r="F217" s="13"/>
      <x:c r="G217" s="13"/>
      <x:c r="H217" s="13"/>
      <x:c r="I217" s="13"/>
      <x:c r="J217" s="13"/>
      <x:c r="K217" s="13"/>
      <x:c r="L217" s="13"/>
      <x:c r="M217" s="13"/>
      <x:c r="N217" s="13"/>
      <x:c r="O217" s="13"/>
    </x:row>
    <x:row r="218">
      <x:c r="A218" s="10" t="n">
        <x:v>207</x:v>
      </x:c>
      <x:c r="B218" s="16" t="n">
        <x:v>0.6407226595329121</x:v>
      </x:c>
      <x:c r="C218" s="16" t="n">
        <x:v>0.12073321721982211</x:v>
      </x:c>
      <x:c r="D218" s="10" t="n">
        <x:v>1</x:v>
      </x:c>
      <x:c r="E218" s="11" t="n">
        <x:f>IF(B218&lt;=$B$7,-LN(C218)/$B$8,-LN(C218)/$B$9)</x:f>
        <x:v>9.015100980174267</x:v>
      </x:c>
      <x:c r="F218" s="13"/>
      <x:c r="G218" s="13"/>
      <x:c r="H218" s="13"/>
      <x:c r="I218" s="13"/>
      <x:c r="J218" s="13"/>
      <x:c r="K218" s="13"/>
      <x:c r="L218" s="13"/>
      <x:c r="M218" s="13"/>
      <x:c r="N218" s="13"/>
      <x:c r="O218" s="13"/>
    </x:row>
    <x:row r="219">
      <x:c r="A219" s="10" t="n">
        <x:v>208</x:v>
      </x:c>
      <x:c r="B219" s="16" t="n">
        <x:v>0.6942670211428776</x:v>
      </x:c>
      <x:c r="C219" s="16" t="n">
        <x:v>0.04924204514827579</x:v>
      </x:c>
      <x:c r="D219" s="10" t="n">
        <x:v>1</x:v>
      </x:c>
      <x:c r="E219" s="11" t="n">
        <x:f>IF(B219&lt;=$B$7,-LN(C219)/$B$8,-LN(C219)/$B$9)</x:f>
        <x:v>12.839322613362274</x:v>
      </x:c>
      <x:c r="F219" s="13"/>
      <x:c r="G219" s="13"/>
      <x:c r="H219" s="13"/>
      <x:c r="I219" s="13"/>
      <x:c r="J219" s="13"/>
      <x:c r="K219" s="13"/>
      <x:c r="L219" s="13"/>
      <x:c r="M219" s="13"/>
      <x:c r="N219" s="13"/>
      <x:c r="O219" s="13"/>
    </x:row>
    <x:row r="220">
      <x:c r="A220" s="10" t="n">
        <x:v>209</x:v>
      </x:c>
      <x:c r="B220" s="16" t="n">
        <x:v>0.8510746305109933</x:v>
      </x:c>
      <x:c r="C220" s="16" t="n">
        <x:v>0.23522550787311047</x:v>
      </x:c>
      <x:c r="D220" s="10" t="n">
        <x:v>1</x:v>
      </x:c>
      <x:c r="E220" s="11" t="n">
        <x:f>IF(B220&lt;=$B$7,-LN(C220)/$B$8,-LN(C220)/$B$9)</x:f>
        <x:v>6.171092016606696</x:v>
      </x:c>
      <x:c r="F220" s="13"/>
      <x:c r="G220" s="13"/>
      <x:c r="H220" s="13"/>
      <x:c r="I220" s="13"/>
      <x:c r="J220" s="13"/>
      <x:c r="K220" s="13"/>
      <x:c r="L220" s="13"/>
      <x:c r="M220" s="13"/>
      <x:c r="N220" s="13"/>
      <x:c r="O220" s="13"/>
    </x:row>
    <x:row r="221">
      <x:c r="A221" s="10" t="n">
        <x:v>210</x:v>
      </x:c>
      <x:c r="B221" s="16" t="n">
        <x:v>0.9743666859576479</x:v>
      </x:c>
      <x:c r="C221" s="16" t="n">
        <x:v>0.943817850551568</x:v>
      </x:c>
      <x:c r="D221" s="10" t="n">
        <x:v>2</x:v>
      </x:c>
      <x:c r="E221" s="11" t="n">
        <x:f>IF(B221&lt;=$B$7,-LN(C221)/$B$8,-LN(C221)/$B$9)</x:f>
        <x:v>3.8969327300110836</x:v>
      </x:c>
      <x:c r="F221" s="13"/>
      <x:c r="G221" s="13"/>
      <x:c r="H221" s="13"/>
      <x:c r="I221" s="13"/>
      <x:c r="J221" s="13"/>
      <x:c r="K221" s="13"/>
      <x:c r="L221" s="13"/>
      <x:c r="M221" s="13"/>
      <x:c r="N221" s="13"/>
      <x:c r="O221" s="13"/>
    </x:row>
    <x:row r="222">
      <x:c r="A222" s="10" t="n">
        <x:v>211</x:v>
      </x:c>
      <x:c r="B222" s="16" t="n">
        <x:v>0.6435635454254225</x:v>
      </x:c>
      <x:c r="C222" s="16" t="n">
        <x:v>0.8463234481168911</x:v>
      </x:c>
      <x:c r="D222" s="10" t="n">
        <x:v>1</x:v>
      </x:c>
      <x:c r="E222" s="11" t="n">
        <x:f>IF(B222&lt;=$B$7,-LN(C222)/$B$8,-LN(C222)/$B$9)</x:f>
        <x:v>0.7114854703943148</x:v>
      </x:c>
      <x:c r="F222" s="13"/>
      <x:c r="G222" s="13"/>
      <x:c r="H222" s="13"/>
      <x:c r="I222" s="13"/>
      <x:c r="J222" s="13"/>
      <x:c r="K222" s="13"/>
      <x:c r="L222" s="13"/>
      <x:c r="M222" s="13"/>
      <x:c r="N222" s="13"/>
      <x:c r="O222" s="13"/>
    </x:row>
    <x:row r="223">
      <x:c r="A223" s="10" t="n">
        <x:v>212</x:v>
      </x:c>
      <x:c r="B223" s="16" t="n">
        <x:v>0.7733509648824111</x:v>
      </x:c>
      <x:c r="C223" s="16" t="n">
        <x:v>0.25069509202148765</x:v>
      </x:c>
      <x:c r="D223" s="10" t="n">
        <x:v>1</x:v>
      </x:c>
      <x:c r="E223" s="11" t="n">
        <x:f>IF(B223&lt;=$B$7,-LN(C223)/$B$8,-LN(C223)/$B$9)</x:f>
        <x:v>5.899497879252444</x:v>
      </x:c>
      <x:c r="F223" s="13"/>
      <x:c r="G223" s="13"/>
      <x:c r="H223" s="13"/>
      <x:c r="I223" s="13"/>
      <x:c r="J223" s="13"/>
      <x:c r="K223" s="13"/>
      <x:c r="L223" s="13"/>
      <x:c r="M223" s="13"/>
      <x:c r="N223" s="13"/>
      <x:c r="O223" s="13"/>
    </x:row>
    <x:row r="224">
      <x:c r="A224" s="10" t="n">
        <x:v>213</x:v>
      </x:c>
      <x:c r="B224" s="16" t="n">
        <x:v>0.48392126348335296</x:v>
      </x:c>
      <x:c r="C224" s="16" t="n">
        <x:v>0.2769738248316571</x:v>
      </x:c>
      <x:c r="D224" s="10" t="n">
        <x:v>1</x:v>
      </x:c>
      <x:c r="E224" s="11" t="n">
        <x:f>IF(B224&lt;=$B$7,-LN(C224)/$B$8,-LN(C224)/$B$9)</x:f>
        <x:v>5.4744257637039695</x:v>
      </x:c>
      <x:c r="F224" s="13"/>
      <x:c r="G224" s="13"/>
      <x:c r="H224" s="13"/>
      <x:c r="I224" s="13"/>
      <x:c r="J224" s="13"/>
      <x:c r="K224" s="13"/>
      <x:c r="L224" s="13"/>
      <x:c r="M224" s="13"/>
      <x:c r="N224" s="13"/>
      <x:c r="O224" s="13"/>
    </x:row>
    <x:row r="225">
      <x:c r="A225" s="10" t="n">
        <x:v>214</x:v>
      </x:c>
      <x:c r="B225" s="16" t="n">
        <x:v>0.09165211080107838</x:v>
      </x:c>
      <x:c r="C225" s="16" t="n">
        <x:v>0.46560536173637956</x:v>
      </x:c>
      <x:c r="D225" s="10" t="n">
        <x:v>1</x:v>
      </x:c>
      <x:c r="E225" s="11" t="n">
        <x:f>IF(B225&lt;=$B$7,-LN(C225)/$B$8,-LN(C225)/$B$9)</x:f>
        <x:v>3.2595717369165977</x:v>
      </x:c>
      <x:c r="F225" s="13"/>
      <x:c r="G225" s="13"/>
      <x:c r="H225" s="13"/>
      <x:c r="I225" s="13"/>
      <x:c r="J225" s="13"/>
      <x:c r="K225" s="13"/>
      <x:c r="L225" s="13"/>
      <x:c r="M225" s="13"/>
      <x:c r="N225" s="13"/>
      <x:c r="O225" s="13"/>
    </x:row>
    <x:row r="226">
      <x:c r="A226" s="10" t="n">
        <x:v>215</x:v>
      </x:c>
      <x:c r="B226" s="16" t="n">
        <x:v>0.0006184439407661557</x:v>
      </x:c>
      <x:c r="C226" s="16" t="n">
        <x:v>0.6512747005326673</x:v>
      </x:c>
      <x:c r="D226" s="10" t="n">
        <x:v>1</x:v>
      </x:c>
      <x:c r="E226" s="11" t="n">
        <x:f>IF(B226&lt;=$B$7,-LN(C226)/$B$8,-LN(C226)/$B$9)</x:f>
        <x:v>1.8285596050012907</x:v>
      </x:c>
      <x:c r="F226" s="13"/>
      <x:c r="G226" s="13"/>
      <x:c r="H226" s="13"/>
      <x:c r="I226" s="13"/>
      <x:c r="J226" s="13"/>
      <x:c r="K226" s="13"/>
      <x:c r="L226" s="13"/>
      <x:c r="M226" s="13"/>
      <x:c r="N226" s="13"/>
      <x:c r="O226" s="13"/>
    </x:row>
    <x:row r="227">
      <x:c r="A227" s="10" t="n">
        <x:v>216</x:v>
      </x:c>
      <x:c r="B227" s="16" t="n">
        <x:v>0.25677833484951407</x:v>
      </x:c>
      <x:c r="C227" s="16" t="n">
        <x:v>0.19368958414997905</x:v>
      </x:c>
      <x:c r="D227" s="10" t="n">
        <x:v>1</x:v>
      </x:c>
      <x:c r="E227" s="11" t="n">
        <x:f>IF(B227&lt;=$B$7,-LN(C227)/$B$8,-LN(C227)/$B$9)</x:f>
        <x:v>6.999560440941547</x:v>
      </x:c>
      <x:c r="F227" s="13"/>
      <x:c r="G227" s="13"/>
      <x:c r="H227" s="13"/>
      <x:c r="I227" s="13"/>
      <x:c r="J227" s="13"/>
      <x:c r="K227" s="13"/>
      <x:c r="L227" s="13"/>
      <x:c r="M227" s="13"/>
      <x:c r="N227" s="13"/>
      <x:c r="O227" s="13"/>
    </x:row>
    <x:row r="228">
      <x:c r="A228" s="10" t="n">
        <x:v>217</x:v>
      </x:c>
      <x:c r="B228" s="16" t="n">
        <x:v>0.39093144063372165</x:v>
      </x:c>
      <x:c r="C228" s="16" t="n">
        <x:v>0.3920950422761962</x:v>
      </x:c>
      <x:c r="D228" s="10" t="n">
        <x:v>1</x:v>
      </x:c>
      <x:c r="E228" s="11" t="n">
        <x:f>IF(B228&lt;=$B$7,-LN(C228)/$B$8,-LN(C228)/$B$9)</x:f>
        <x:v>3.992294617591483</x:v>
      </x:c>
      <x:c r="F228" s="13"/>
      <x:c r="G228" s="13"/>
      <x:c r="H228" s="13"/>
      <x:c r="I228" s="13"/>
      <x:c r="J228" s="13"/>
      <x:c r="K228" s="13"/>
      <x:c r="L228" s="13"/>
      <x:c r="M228" s="13"/>
      <x:c r="N228" s="13"/>
      <x:c r="O228" s="13"/>
    </x:row>
    <x:row r="229">
      <x:c r="A229" s="10" t="n">
        <x:v>218</x:v>
      </x:c>
      <x:c r="B229" s="16" t="n">
        <x:v>0.2361189821967855</x:v>
      </x:c>
      <x:c r="C229" s="16" t="n">
        <x:v>0.1847153011476621</x:v>
      </x:c>
      <x:c r="D229" s="10" t="n">
        <x:v>1</x:v>
      </x:c>
      <x:c r="E229" s="11" t="n">
        <x:f>IF(B229&lt;=$B$7,-LN(C229)/$B$8,-LN(C229)/$B$9)</x:f>
        <x:v>7.2018552539856255</x:v>
      </x:c>
      <x:c r="F229" s="13"/>
      <x:c r="G229" s="13"/>
      <x:c r="H229" s="13"/>
      <x:c r="I229" s="13"/>
      <x:c r="J229" s="13"/>
      <x:c r="K229" s="13"/>
      <x:c r="L229" s="13"/>
      <x:c r="M229" s="13"/>
      <x:c r="N229" s="13"/>
      <x:c r="O229" s="13"/>
    </x:row>
    <x:row r="230">
      <x:c r="A230" s="10" t="n">
        <x:v>219</x:v>
      </x:c>
      <x:c r="B230" s="16" t="n">
        <x:v>0.47251700900960714</x:v>
      </x:c>
      <x:c r="C230" s="16" t="n">
        <x:v>0.6102959130657837</x:v>
      </x:c>
      <x:c r="D230" s="10" t="n">
        <x:v>1</x:v>
      </x:c>
      <x:c r="E230" s="11" t="n">
        <x:f>IF(B230&lt;=$B$7,-LN(C230)/$B$8,-LN(C230)/$B$9)</x:f>
        <x:v>2.105674984578049</x:v>
      </x:c>
      <x:c r="F230" s="13"/>
      <x:c r="G230" s="13"/>
      <x:c r="H230" s="13"/>
      <x:c r="I230" s="13"/>
      <x:c r="J230" s="13"/>
      <x:c r="K230" s="13"/>
      <x:c r="L230" s="13"/>
      <x:c r="M230" s="13"/>
      <x:c r="N230" s="13"/>
      <x:c r="O230" s="13"/>
    </x:row>
    <x:row r="231">
      <x:c r="A231" s="10" t="n">
        <x:v>220</x:v>
      </x:c>
      <x:c r="B231" s="16" t="n">
        <x:v>0.040570020326413214</x:v>
      </x:c>
      <x:c r="C231" s="16" t="n">
        <x:v>0.04895801970269531</x:v>
      </x:c>
      <x:c r="D231" s="10" t="n">
        <x:v>1</x:v>
      </x:c>
      <x:c r="E231" s="11" t="n">
        <x:f>IF(B231&lt;=$B$7,-LN(C231)/$B$8,-LN(C231)/$B$9)</x:f>
        <x:v>12.86398908119394</x:v>
      </x:c>
      <x:c r="F231" s="13"/>
      <x:c r="G231" s="13"/>
      <x:c r="H231" s="13"/>
      <x:c r="I231" s="13"/>
      <x:c r="J231" s="13"/>
      <x:c r="K231" s="13"/>
      <x:c r="L231" s="13"/>
      <x:c r="M231" s="13"/>
      <x:c r="N231" s="13"/>
      <x:c r="O231" s="13"/>
    </x:row>
    <x:row r="232">
      <x:c r="A232" s="10" t="n">
        <x:v>221</x:v>
      </x:c>
      <x:c r="B232" s="16" t="n">
        <x:v>0.08361982565838844</x:v>
      </x:c>
      <x:c r="C232" s="16" t="n">
        <x:v>0.5261782257584855</x:v>
      </x:c>
      <x:c r="D232" s="10" t="n">
        <x:v>1</x:v>
      </x:c>
      <x:c r="E232" s="11" t="n">
        <x:f>IF(B232&lt;=$B$7,-LN(C232)/$B$8,-LN(C232)/$B$9)</x:f>
        <x:v>2.7380621050789493</x:v>
      </x:c>
      <x:c r="F232" s="13"/>
      <x:c r="G232" s="13"/>
      <x:c r="H232" s="13"/>
      <x:c r="I232" s="13"/>
      <x:c r="J232" s="13"/>
      <x:c r="K232" s="13"/>
      <x:c r="L232" s="13"/>
      <x:c r="M232" s="13"/>
      <x:c r="N232" s="13"/>
      <x:c r="O232" s="13"/>
    </x:row>
    <x:row r="233">
      <x:c r="A233" s="10" t="n">
        <x:v>222</x:v>
      </x:c>
      <x:c r="B233" s="16" t="n">
        <x:v>0.047104839817620814</x:v>
      </x:c>
      <x:c r="C233" s="16" t="n">
        <x:v>0.4193716220324859</x:v>
      </x:c>
      <x:c r="D233" s="10" t="n">
        <x:v>1</x:v>
      </x:c>
      <x:c r="E233" s="11" t="n">
        <x:f>IF(B233&lt;=$B$7,-LN(C233)/$B$8,-LN(C233)/$B$9)</x:f>
        <x:v>3.7055183840092885</x:v>
      </x:c>
      <x:c r="F233" s="13"/>
      <x:c r="G233" s="13"/>
      <x:c r="H233" s="13"/>
      <x:c r="I233" s="13"/>
      <x:c r="J233" s="13"/>
      <x:c r="K233" s="13"/>
      <x:c r="L233" s="13"/>
      <x:c r="M233" s="13"/>
      <x:c r="N233" s="13"/>
      <x:c r="O233" s="13"/>
    </x:row>
    <x:row r="234">
      <x:c r="A234" s="10" t="n">
        <x:v>223</x:v>
      </x:c>
      <x:c r="B234" s="16" t="n">
        <x:v>0.7850378203438595</x:v>
      </x:c>
      <x:c r="C234" s="16" t="n">
        <x:v>0.3137820594711229</x:v>
      </x:c>
      <x:c r="D234" s="10" t="n">
        <x:v>1</x:v>
      </x:c>
      <x:c r="E234" s="11" t="n">
        <x:f>IF(B234&lt;=$B$7,-LN(C234)/$B$8,-LN(C234)/$B$9)</x:f>
        <x:v>4.942366316405406</x:v>
      </x:c>
      <x:c r="F234" s="13"/>
      <x:c r="G234" s="13"/>
      <x:c r="H234" s="13"/>
      <x:c r="I234" s="13"/>
      <x:c r="J234" s="13"/>
      <x:c r="K234" s="13"/>
      <x:c r="L234" s="13"/>
      <x:c r="M234" s="13"/>
      <x:c r="N234" s="13"/>
      <x:c r="O234" s="13"/>
    </x:row>
    <x:row r="235">
      <x:c r="A235" s="10" t="n">
        <x:v>224</x:v>
      </x:c>
      <x:c r="B235" s="16" t="n">
        <x:v>0.31841536762658507</x:v>
      </x:c>
      <x:c r="C235" s="16" t="n">
        <x:v>0.5756728382548317</x:v>
      </x:c>
      <x:c r="D235" s="10" t="n">
        <x:v>1</x:v>
      </x:c>
      <x:c r="E235" s="11" t="n">
        <x:f>IF(B235&lt;=$B$7,-LN(C235)/$B$8,-LN(C235)/$B$9)</x:f>
        <x:v>2.3547189899156273</x:v>
      </x:c>
      <x:c r="F235" s="13"/>
      <x:c r="G235" s="13"/>
      <x:c r="H235" s="13"/>
      <x:c r="I235" s="13"/>
      <x:c r="J235" s="13"/>
      <x:c r="K235" s="13"/>
      <x:c r="L235" s="13"/>
      <x:c r="M235" s="13"/>
      <x:c r="N235" s="13"/>
      <x:c r="O235" s="13"/>
    </x:row>
    <x:row r="236">
      <x:c r="A236" s="10" t="n">
        <x:v>225</x:v>
      </x:c>
      <x:c r="B236" s="16" t="n">
        <x:v>0.06697032053489238</x:v>
      </x:c>
      <x:c r="C236" s="16" t="n">
        <x:v>0.008662538486532867</x:v>
      </x:c>
      <x:c r="D236" s="10" t="n">
        <x:v>1</x:v>
      </x:c>
      <x:c r="E236" s="11" t="n">
        <x:f>IF(B236&lt;=$B$7,-LN(C236)/$B$8,-LN(C236)/$B$9)</x:f>
        <x:v>20.24926936453914</x:v>
      </x:c>
      <x:c r="F236" s="13"/>
      <x:c r="G236" s="13"/>
      <x:c r="H236" s="13"/>
      <x:c r="I236" s="13"/>
      <x:c r="J236" s="13"/>
      <x:c r="K236" s="13"/>
      <x:c r="L236" s="13"/>
      <x:c r="M236" s="13"/>
      <x:c r="N236" s="13"/>
      <x:c r="O236" s="13"/>
    </x:row>
    <x:row r="237">
      <x:c r="A237" s="10" t="n">
        <x:v>226</x:v>
      </x:c>
      <x:c r="B237" s="16" t="n">
        <x:v>0.24774849286768585</x:v>
      </x:c>
      <x:c r="C237" s="16" t="n">
        <x:v>0.7959647815441713</x:v>
      </x:c>
      <x:c r="D237" s="10" t="n">
        <x:v>1</x:v>
      </x:c>
      <x:c r="E237" s="11" t="n">
        <x:f>IF(B237&lt;=$B$7,-LN(C237)/$B$8,-LN(C237)/$B$9)</x:f>
        <x:v>0.9730755634295968</x:v>
      </x:c>
      <x:c r="F237" s="13"/>
      <x:c r="G237" s="13"/>
      <x:c r="H237" s="13"/>
      <x:c r="I237" s="13"/>
      <x:c r="J237" s="13"/>
      <x:c r="K237" s="13"/>
      <x:c r="L237" s="13"/>
      <x:c r="M237" s="13"/>
      <x:c r="N237" s="13"/>
      <x:c r="O237" s="13"/>
    </x:row>
    <x:row r="238">
      <x:c r="A238" s="10" t="n">
        <x:v>227</x:v>
      </x:c>
      <x:c r="B238" s="16" t="n">
        <x:v>0.5138740084366873</x:v>
      </x:c>
      <x:c r="C238" s="16" t="n">
        <x:v>0.3697672736598179</x:v>
      </x:c>
      <x:c r="D238" s="10" t="n">
        <x:v>1</x:v>
      </x:c>
      <x:c r="E238" s="11" t="n">
        <x:f>IF(B238&lt;=$B$7,-LN(C238)/$B$8,-LN(C238)/$B$9)</x:f>
        <x:v>4.242302379142515</x:v>
      </x:c>
      <x:c r="F238" s="13"/>
      <x:c r="G238" s="13"/>
      <x:c r="H238" s="13"/>
      <x:c r="I238" s="13"/>
      <x:c r="J238" s="13"/>
      <x:c r="K238" s="13"/>
      <x:c r="L238" s="13"/>
      <x:c r="M238" s="13"/>
      <x:c r="N238" s="13"/>
      <x:c r="O238" s="13"/>
    </x:row>
    <x:row r="239">
      <x:c r="A239" s="10" t="n">
        <x:v>228</x:v>
      </x:c>
      <x:c r="B239" s="16" t="n">
        <x:v>0.10706280509475619</x:v>
      </x:c>
      <x:c r="C239" s="16" t="n">
        <x:v>0.9515245457878336</x:v>
      </x:c>
      <x:c r="D239" s="10" t="n">
        <x:v>1</x:v>
      </x:c>
      <x:c r="E239" s="11" t="n">
        <x:f>IF(B239&lt;=$B$7,-LN(C239)/$B$8,-LN(C239)/$B$9)</x:f>
        <x:v>0.21188367302935837</x:v>
      </x:c>
      <x:c r="F239" s="13"/>
      <x:c r="G239" s="13"/>
      <x:c r="H239" s="13"/>
      <x:c r="I239" s="13"/>
      <x:c r="J239" s="13"/>
      <x:c r="K239" s="13"/>
      <x:c r="L239" s="13"/>
      <x:c r="M239" s="13"/>
      <x:c r="N239" s="13"/>
      <x:c r="O239" s="13"/>
    </x:row>
    <x:row r="240">
      <x:c r="A240" s="10" t="n">
        <x:v>229</x:v>
      </x:c>
      <x:c r="B240" s="16" t="n">
        <x:v>0.6304516905220225</x:v>
      </x:c>
      <x:c r="C240" s="16" t="n">
        <x:v>0.8360403663245961</x:v>
      </x:c>
      <x:c r="D240" s="10" t="n">
        <x:v>1</x:v>
      </x:c>
      <x:c r="E240" s="11" t="n">
        <x:f>IF(B240&lt;=$B$7,-LN(C240)/$B$8,-LN(C240)/$B$9)</x:f>
        <x:v>0.7636132297820757</x:v>
      </x:c>
      <x:c r="F240" s="13"/>
      <x:c r="G240" s="13"/>
      <x:c r="H240" s="13"/>
      <x:c r="I240" s="13"/>
      <x:c r="J240" s="13"/>
      <x:c r="K240" s="13"/>
      <x:c r="L240" s="13"/>
      <x:c r="M240" s="13"/>
      <x:c r="N240" s="13"/>
      <x:c r="O240" s="13"/>
    </x:row>
    <x:row r="241">
      <x:c r="A241" s="10" t="n">
        <x:v>230</x:v>
      </x:c>
      <x:c r="B241" s="16" t="n">
        <x:v>0.3266306450823322</x:v>
      </x:c>
      <x:c r="C241" s="16" t="n">
        <x:v>0.11037986574228853</x:v>
      </x:c>
      <x:c r="D241" s="10" t="n">
        <x:v>1</x:v>
      </x:c>
      <x:c r="E241" s="11" t="n">
        <x:f>IF(B241&lt;=$B$7,-LN(C241)/$B$8,-LN(C241)/$B$9)</x:f>
        <x:v>9.397403779139205</x:v>
      </x:c>
      <x:c r="F241" s="13"/>
      <x:c r="G241" s="13"/>
      <x:c r="H241" s="13"/>
      <x:c r="I241" s="13"/>
      <x:c r="J241" s="13"/>
      <x:c r="K241" s="13"/>
      <x:c r="L241" s="13"/>
      <x:c r="M241" s="13"/>
      <x:c r="N241" s="13"/>
      <x:c r="O241" s="13"/>
    </x:row>
    <x:row r="242">
      <x:c r="A242" s="10" t="n">
        <x:v>231</x:v>
      </x:c>
      <x:c r="B242" s="16" t="n">
        <x:v>0.2818988795625046</x:v>
      </x:c>
      <x:c r="C242" s="16" t="n">
        <x:v>0.9683779746992514</x:v>
      </x:c>
      <x:c r="D242" s="10" t="n">
        <x:v>1</x:v>
      </x:c>
      <x:c r="E242" s="11" t="n">
        <x:f>IF(B242&lt;=$B$7,-LN(C242)/$B$8,-LN(C242)/$B$9)</x:f>
        <x:v>0.13701838007735734</x:v>
      </x:c>
      <x:c r="F242" s="13"/>
      <x:c r="G242" s="13"/>
      <x:c r="H242" s="13"/>
      <x:c r="I242" s="13"/>
      <x:c r="J242" s="13"/>
      <x:c r="K242" s="13"/>
      <x:c r="L242" s="13"/>
      <x:c r="M242" s="13"/>
      <x:c r="N242" s="13"/>
      <x:c r="O242" s="13"/>
    </x:row>
    <x:row r="243">
      <x:c r="A243" s="10" t="n">
        <x:v>232</x:v>
      </x:c>
      <x:c r="B243" s="16" t="n">
        <x:v>0.5842104681069031</x:v>
      </x:c>
      <x:c r="C243" s="16" t="n">
        <x:v>0.16529983968939632</x:v>
      </x:c>
      <x:c r="D243" s="10" t="n">
        <x:v>1</x:v>
      </x:c>
      <x:c r="E243" s="11" t="n">
        <x:f>IF(B243&lt;=$B$7,-LN(C243)/$B$8,-LN(C243)/$B$9)</x:f>
        <x:v>7.675406729646369</x:v>
      </x:c>
      <x:c r="F243" s="13"/>
      <x:c r="G243" s="13"/>
      <x:c r="H243" s="13"/>
      <x:c r="I243" s="13"/>
      <x:c r="J243" s="13"/>
      <x:c r="K243" s="13"/>
      <x:c r="L243" s="13"/>
      <x:c r="M243" s="13"/>
      <x:c r="N243" s="13"/>
      <x:c r="O243" s="13"/>
    </x:row>
    <x:row r="244">
      <x:c r="A244" s="10" t="n">
        <x:v>233</x:v>
      </x:c>
      <x:c r="B244" s="16" t="n">
        <x:v>0.951533189159818</x:v>
      </x:c>
      <x:c r="C244" s="16" t="n">
        <x:v>0.01756044279318303</x:v>
      </x:c>
      <x:c r="D244" s="10" t="n">
        <x:v>2</x:v>
      </x:c>
      <x:c r="E244" s="11" t="n">
        <x:f>IF(B244&lt;=$B$7,-LN(C244)/$B$8,-LN(C244)/$B$9)</x:f>
        <x:v>272.4186899393175</x:v>
      </x:c>
      <x:c r="F244" s="13"/>
      <x:c r="G244" s="13"/>
      <x:c r="H244" s="13"/>
      <x:c r="I244" s="13"/>
      <x:c r="J244" s="13"/>
      <x:c r="K244" s="13"/>
      <x:c r="L244" s="13"/>
      <x:c r="M244" s="13"/>
      <x:c r="N244" s="13"/>
      <x:c r="O244" s="13"/>
    </x:row>
    <x:row r="245">
      <x:c r="A245" s="10" t="n">
        <x:v>234</x:v>
      </x:c>
      <x:c r="B245" s="16" t="n">
        <x:v>0.031914519728161395</x:v>
      </x:c>
      <x:c r="C245" s="16" t="n">
        <x:v>0.751824714592658</x:v>
      </x:c>
      <x:c r="D245" s="10" t="n">
        <x:v>1</x:v>
      </x:c>
      <x:c r="E245" s="11" t="n">
        <x:f>IF(B245&lt;=$B$7,-LN(C245)/$B$8,-LN(C245)/$B$9)</x:f>
        <x:v>1.216351496451575</x:v>
      </x:c>
      <x:c r="F245" s="13"/>
      <x:c r="G245" s="13"/>
      <x:c r="H245" s="13"/>
      <x:c r="I245" s="13"/>
      <x:c r="J245" s="13"/>
      <x:c r="K245" s="13"/>
      <x:c r="L245" s="13"/>
      <x:c r="M245" s="13"/>
      <x:c r="N245" s="13"/>
      <x:c r="O245" s="13"/>
    </x:row>
    <x:row r="246">
      <x:c r="A246" s="10" t="n">
        <x:v>235</x:v>
      </x:c>
      <x:c r="B246" s="16" t="n">
        <x:v>0.26893154077697545</x:v>
      </x:c>
      <x:c r="C246" s="16" t="n">
        <x:v>0.5087859918130562</x:v>
      </x:c>
      <x:c r="D246" s="10" t="n">
        <x:v>1</x:v>
      </x:c>
      <x:c r="E246" s="11" t="n">
        <x:f>IF(B246&lt;=$B$7,-LN(C246)/$B$8,-LN(C246)/$B$9)</x:f>
        <x:v>2.881390156867786</x:v>
      </x:c>
      <x:c r="F246" s="13"/>
      <x:c r="G246" s="13"/>
      <x:c r="H246" s="13"/>
      <x:c r="I246" s="13"/>
      <x:c r="J246" s="13"/>
      <x:c r="K246" s="13"/>
      <x:c r="L246" s="13"/>
      <x:c r="M246" s="13"/>
      <x:c r="N246" s="13"/>
      <x:c r="O246" s="13"/>
    </x:row>
    <x:row r="247">
      <x:c r="A247" s="10" t="n">
        <x:v>236</x:v>
      </x:c>
      <x:c r="B247" s="16" t="n">
        <x:v>0.23889682407025248</x:v>
      </x:c>
      <x:c r="C247" s="16" t="n">
        <x:v>0.9719597337534651</x:v>
      </x:c>
      <x:c r="D247" s="10" t="n">
        <x:v>1</x:v>
      </x:c>
      <x:c r="E247" s="11" t="n">
        <x:f>IF(B247&lt;=$B$7,-LN(C247)/$B$8,-LN(C247)/$B$9)</x:f>
        <x:v>0.12127565849552803</x:v>
      </x:c>
      <x:c r="F247" s="13"/>
      <x:c r="G247" s="13"/>
      <x:c r="H247" s="13"/>
      <x:c r="I247" s="13"/>
      <x:c r="J247" s="13"/>
      <x:c r="K247" s="13"/>
      <x:c r="L247" s="13"/>
      <x:c r="M247" s="13"/>
      <x:c r="N247" s="13"/>
      <x:c r="O247" s="13"/>
    </x:row>
    <x:row r="248">
      <x:c r="A248" s="10" t="n">
        <x:v>237</x:v>
      </x:c>
      <x:c r="B248" s="16" t="n">
        <x:v>0.5117001832695678</x:v>
      </x:c>
      <x:c r="C248" s="16" t="n">
        <x:v>0.9834309740690514</x:v>
      </x:c>
      <x:c r="D248" s="10" t="n">
        <x:v>1</x:v>
      </x:c>
      <x:c r="E248" s="11" t="n">
        <x:f>IF(B248&lt;=$B$7,-LN(C248)/$B$8,-LN(C248)/$B$9)</x:f>
        <x:v>0.07124432352681778</x:v>
      </x:c>
      <x:c r="F248" s="13"/>
      <x:c r="G248" s="13"/>
      <x:c r="H248" s="13"/>
      <x:c r="I248" s="13"/>
      <x:c r="J248" s="13"/>
      <x:c r="K248" s="13"/>
      <x:c r="L248" s="13"/>
      <x:c r="M248" s="13"/>
      <x:c r="N248" s="13"/>
      <x:c r="O248" s="13"/>
    </x:row>
    <x:row r="249">
      <x:c r="A249" s="10" t="n">
        <x:v>238</x:v>
      </x:c>
      <x:c r="B249" s="16" t="n">
        <x:v>0.677986484603025</x:v>
      </x:c>
      <x:c r="C249" s="16" t="n">
        <x:v>0.68915804696735</x:v>
      </x:c>
      <x:c r="D249" s="10" t="n">
        <x:v>1</x:v>
      </x:c>
      <x:c r="E249" s="11" t="n">
        <x:f>IF(B249&lt;=$B$7,-LN(C249)/$B$8,-LN(C249)/$B$9)</x:f>
        <x:v>1.5874695733738393</x:v>
      </x:c>
      <x:c r="F249" s="13"/>
      <x:c r="G249" s="13"/>
      <x:c r="H249" s="13"/>
      <x:c r="I249" s="13"/>
      <x:c r="J249" s="13"/>
      <x:c r="K249" s="13"/>
      <x:c r="L249" s="13"/>
      <x:c r="M249" s="13"/>
      <x:c r="N249" s="13"/>
      <x:c r="O249" s="13"/>
    </x:row>
    <x:row r="250">
      <x:c r="A250" s="10" t="n">
        <x:v>239</x:v>
      </x:c>
      <x:c r="B250" s="16" t="n">
        <x:v>0.03400252491701394</x:v>
      </x:c>
      <x:c r="C250" s="16" t="n">
        <x:v>0.28866168938111514</x:v>
      </x:c>
      <x:c r="D250" s="10" t="n">
        <x:v>1</x:v>
      </x:c>
      <x:c r="E250" s="11" t="n">
        <x:f>IF(B250&lt;=$B$7,-LN(C250)/$B$8,-LN(C250)/$B$9)</x:f>
        <x:v>5.298179223626401</x:v>
      </x:c>
      <x:c r="F250" s="13"/>
      <x:c r="G250" s="13"/>
      <x:c r="H250" s="13"/>
      <x:c r="I250" s="13"/>
      <x:c r="J250" s="13"/>
      <x:c r="K250" s="13"/>
      <x:c r="L250" s="13"/>
      <x:c r="M250" s="13"/>
      <x:c r="N250" s="13"/>
      <x:c r="O250" s="13"/>
    </x:row>
    <x:row r="251">
      <x:c r="A251" s="10" t="n">
        <x:v>240</x:v>
      </x:c>
      <x:c r="B251" s="16" t="n">
        <x:v>0.8343912974232808</x:v>
      </x:c>
      <x:c r="C251" s="16" t="n">
        <x:v>0.4102176831802353</x:v>
      </x:c>
      <x:c r="D251" s="10" t="n">
        <x:v>1</x:v>
      </x:c>
      <x:c r="E251" s="11" t="n">
        <x:f>IF(B251&lt;=$B$7,-LN(C251)/$B$8,-LN(C251)/$B$9)</x:f>
        <x:v>3.799625565656846</x:v>
      </x:c>
      <x:c r="F251" s="13"/>
      <x:c r="G251" s="13"/>
      <x:c r="H251" s="13"/>
      <x:c r="I251" s="13"/>
      <x:c r="J251" s="13"/>
      <x:c r="K251" s="13"/>
      <x:c r="L251" s="13"/>
      <x:c r="M251" s="13"/>
      <x:c r="N251" s="13"/>
      <x:c r="O251" s="13"/>
    </x:row>
    <x:row r="252">
      <x:c r="A252" s="10" t="n">
        <x:v>241</x:v>
      </x:c>
      <x:c r="B252" s="16" t="n">
        <x:v>0.824969777953811</x:v>
      </x:c>
      <x:c r="C252" s="16" t="n">
        <x:v>0.05552276398520917</x:v>
      </x:c>
      <x:c r="D252" s="10" t="n">
        <x:v>1</x:v>
      </x:c>
      <x:c r="E252" s="11" t="n">
        <x:f>IF(B252&lt;=$B$7,-LN(C252)/$B$8,-LN(C252)/$B$9)</x:f>
        <x:v>12.327434184369862</x:v>
      </x:c>
      <x:c r="F252" s="13"/>
      <x:c r="G252" s="13"/>
      <x:c r="H252" s="13"/>
      <x:c r="I252" s="13"/>
      <x:c r="J252" s="13"/>
      <x:c r="K252" s="13"/>
      <x:c r="L252" s="13"/>
      <x:c r="M252" s="13"/>
      <x:c r="N252" s="13"/>
      <x:c r="O252" s="13"/>
    </x:row>
    <x:row r="253">
      <x:c r="A253" s="10" t="n">
        <x:v>242</x:v>
      </x:c>
      <x:c r="B253" s="16" t="n">
        <x:v>0.26459667703602463</x:v>
      </x:c>
      <x:c r="C253" s="16" t="n">
        <x:v>0.019717585644684732</x:v>
      </x:c>
      <x:c r="D253" s="10" t="n">
        <x:v>1</x:v>
      </x:c>
      <x:c r="E253" s="11" t="n">
        <x:f>IF(B253&lt;=$B$7,-LN(C253)/$B$8,-LN(C253)/$B$9)</x:f>
        <x:v>16.742010455788993</x:v>
      </x:c>
      <x:c r="F253" s="13"/>
      <x:c r="G253" s="13"/>
      <x:c r="H253" s="13"/>
      <x:c r="I253" s="13"/>
      <x:c r="J253" s="13"/>
      <x:c r="K253" s="13"/>
      <x:c r="L253" s="13"/>
      <x:c r="M253" s="13"/>
      <x:c r="N253" s="13"/>
      <x:c r="O253" s="13"/>
    </x:row>
    <x:row r="254">
      <x:c r="A254" s="10" t="n">
        <x:v>243</x:v>
      </x:c>
      <x:c r="B254" s="16" t="n">
        <x:v>0.6501194156007841</x:v>
      </x:c>
      <x:c r="C254" s="16" t="n">
        <x:v>0.25612709193956107</x:v>
      </x:c>
      <x:c r="D254" s="10" t="n">
        <x:v>1</x:v>
      </x:c>
      <x:c r="E254" s="11" t="n">
        <x:f>IF(B254&lt;=$B$7,-LN(C254)/$B$8,-LN(C254)/$B$9)</x:f>
        <x:v>5.808090544358482</x:v>
      </x:c>
      <x:c r="F254" s="13"/>
      <x:c r="G254" s="13"/>
      <x:c r="H254" s="13"/>
      <x:c r="I254" s="13"/>
      <x:c r="J254" s="13"/>
      <x:c r="K254" s="13"/>
      <x:c r="L254" s="13"/>
      <x:c r="M254" s="13"/>
      <x:c r="N254" s="13"/>
      <x:c r="O254" s="13"/>
    </x:row>
    <x:row r="255">
      <x:c r="A255" s="10" t="n">
        <x:v>244</x:v>
      </x:c>
      <x:c r="B255" s="16" t="n">
        <x:v>0.1835848946357146</x:v>
      </x:c>
      <x:c r="C255" s="16" t="n">
        <x:v>0.8826177095761523</x:v>
      </x:c>
      <x:c r="D255" s="10" t="n">
        <x:v>1</x:v>
      </x:c>
      <x:c r="E255" s="11" t="n">
        <x:f>IF(B255&lt;=$B$7,-LN(C255)/$B$8,-LN(C255)/$B$9)</x:f>
        <x:v>0.532432374484301</x:v>
      </x:c>
      <x:c r="F255" s="13"/>
      <x:c r="G255" s="13"/>
      <x:c r="H255" s="13"/>
      <x:c r="I255" s="13"/>
      <x:c r="J255" s="13"/>
      <x:c r="K255" s="13"/>
      <x:c r="L255" s="13"/>
      <x:c r="M255" s="13"/>
      <x:c r="N255" s="13"/>
      <x:c r="O255" s="13"/>
    </x:row>
    <x:row r="256">
      <x:c r="A256" s="10" t="n">
        <x:v>245</x:v>
      </x:c>
      <x:c r="B256" s="16" t="n">
        <x:v>0.47890644159633666</x:v>
      </x:c>
      <x:c r="C256" s="16" t="n">
        <x:v>0.980572339030914</x:v>
      </x:c>
      <x:c r="D256" s="10" t="n">
        <x:v>1</x:v>
      </x:c>
      <x:c r="E256" s="11" t="n">
        <x:f>IF(B256&lt;=$B$7,-LN(C256)/$B$8,-LN(C256)/$B$9)</x:f>
        <x:v>0.08365733283565994</x:v>
      </x:c>
      <x:c r="F256" s="13"/>
      <x:c r="G256" s="13"/>
      <x:c r="H256" s="13"/>
      <x:c r="I256" s="13"/>
      <x:c r="J256" s="13"/>
      <x:c r="K256" s="13"/>
      <x:c r="L256" s="13"/>
      <x:c r="M256" s="13"/>
      <x:c r="N256" s="13"/>
      <x:c r="O256" s="13"/>
    </x:row>
    <x:row r="257">
      <x:c r="A257" s="10" t="n">
        <x:v>246</x:v>
      </x:c>
      <x:c r="B257" s="16" t="n">
        <x:v>0.4084996288875118</x:v>
      </x:c>
      <x:c r="C257" s="16" t="n">
        <x:v>0.08064818230923265</x:v>
      </x:c>
      <x:c r="D257" s="10" t="n">
        <x:v>1</x:v>
      </x:c>
      <x:c r="E257" s="11" t="n">
        <x:f>IF(B257&lt;=$B$7,-LN(C257)/$B$8,-LN(C257)/$B$9)</x:f>
        <x:v>10.735621513002998</x:v>
      </x:c>
      <x:c r="F257" s="13"/>
      <x:c r="G257" s="13"/>
      <x:c r="H257" s="13"/>
      <x:c r="I257" s="13"/>
      <x:c r="J257" s="13"/>
      <x:c r="K257" s="13"/>
      <x:c r="L257" s="13"/>
      <x:c r="M257" s="13"/>
      <x:c r="N257" s="13"/>
      <x:c r="O257" s="13"/>
    </x:row>
    <x:row r="258">
      <x:c r="A258" s="10" t="n">
        <x:v>247</x:v>
      </x:c>
      <x:c r="B258" s="16" t="n">
        <x:v>0.15153247222770005</x:v>
      </x:c>
      <x:c r="C258" s="16" t="n">
        <x:v>0.8242090091807768</x:v>
      </x:c>
      <x:c r="D258" s="10" t="n">
        <x:v>1</x:v>
      </x:c>
      <x:c r="E258" s="11" t="n">
        <x:f>IF(B258&lt;=$B$7,-LN(C258)/$B$8,-LN(C258)/$B$9)</x:f>
        <x:v>0.8243887756811645</x:v>
      </x:c>
      <x:c r="F258" s="13"/>
      <x:c r="G258" s="13"/>
      <x:c r="H258" s="13"/>
      <x:c r="I258" s="13"/>
      <x:c r="J258" s="13"/>
      <x:c r="K258" s="13"/>
      <x:c r="L258" s="13"/>
      <x:c r="M258" s="13"/>
      <x:c r="N258" s="13"/>
      <x:c r="O258" s="13"/>
    </x:row>
    <x:row r="259">
      <x:c r="A259" s="10" t="n">
        <x:v>248</x:v>
      </x:c>
      <x:c r="B259" s="16" t="n">
        <x:v>0.7368808292085305</x:v>
      </x:c>
      <x:c r="C259" s="16" t="n">
        <x:v>0.7981125259539112</x:v>
      </x:c>
      <x:c r="D259" s="10" t="n">
        <x:v>1</x:v>
      </x:c>
      <x:c r="E259" s="11" t="n">
        <x:f>IF(B259&lt;=$B$7,-LN(C259)/$B$8,-LN(C259)/$B$9)</x:f>
        <x:v>0.961585200175647</x:v>
      </x:c>
      <x:c r="F259" s="13"/>
      <x:c r="G259" s="13"/>
      <x:c r="H259" s="13"/>
      <x:c r="I259" s="13"/>
      <x:c r="J259" s="13"/>
      <x:c r="K259" s="13"/>
      <x:c r="L259" s="13"/>
      <x:c r="M259" s="13"/>
      <x:c r="N259" s="13"/>
      <x:c r="O259" s="13"/>
    </x:row>
    <x:row r="260">
      <x:c r="A260" s="10" t="n">
        <x:v>249</x:v>
      </x:c>
      <x:c r="B260" s="16" t="n">
        <x:v>0.48813763086218387</x:v>
      </x:c>
      <x:c r="C260" s="16" t="n">
        <x:v>0.5258850733516738</x:v>
      </x:c>
      <x:c r="D260" s="10" t="n">
        <x:v>1</x:v>
      </x:c>
      <x:c r="E260" s="11" t="n">
        <x:f>IF(B260&lt;=$B$7,-LN(C260)/$B$8,-LN(C260)/$B$9)</x:f>
        <x:v>2.740438463159151</x:v>
      </x:c>
      <x:c r="F260" s="13"/>
      <x:c r="G260" s="13"/>
      <x:c r="H260" s="13"/>
      <x:c r="I260" s="13"/>
      <x:c r="J260" s="13"/>
      <x:c r="K260" s="13"/>
      <x:c r="L260" s="13"/>
      <x:c r="M260" s="13"/>
      <x:c r="N260" s="13"/>
      <x:c r="O260" s="13"/>
    </x:row>
    <x:row r="261">
      <x:c r="A261" s="10" t="n">
        <x:v>250</x:v>
      </x:c>
      <x:c r="B261" s="16" t="n">
        <x:v>0.08759489154908806</x:v>
      </x:c>
      <x:c r="C261" s="16" t="n">
        <x:v>0.12272994255181402</x:v>
      </x:c>
      <x:c r="D261" s="10" t="n">
        <x:v>1</x:v>
      </x:c>
      <x:c r="E261" s="11" t="n">
        <x:f>IF(B261&lt;=$B$7,-LN(C261)/$B$8,-LN(C261)/$B$9)</x:f>
        <x:v>8.945156235531469</x:v>
      </x:c>
      <x:c r="F261" s="13"/>
      <x:c r="G261" s="13"/>
      <x:c r="H261" s="13"/>
      <x:c r="I261" s="13"/>
      <x:c r="J261" s="13"/>
      <x:c r="K261" s="13"/>
      <x:c r="L261" s="13"/>
      <x:c r="M261" s="13"/>
      <x:c r="N261" s="13"/>
      <x:c r="O261" s="13"/>
    </x:row>
    <x:row r="262">
      <x:c r="A262" s="10" t="n">
        <x:v>251</x:v>
      </x:c>
      <x:c r="B262" s="16" t="n">
        <x:v>0.2935002549784258</x:v>
      </x:c>
      <x:c r="C262" s="16" t="n">
        <x:v>0.7477921609533951</x:v>
      </x:c>
      <x:c r="D262" s="10" t="n">
        <x:v>1</x:v>
      </x:c>
      <x:c r="E262" s="11" t="n">
        <x:f>IF(B262&lt;=$B$7,-LN(C262)/$B$8,-LN(C262)/$B$9)</x:f>
        <x:v>1.239284511637106</x:v>
      </x:c>
      <x:c r="F262" s="13"/>
      <x:c r="G262" s="13"/>
      <x:c r="H262" s="13"/>
      <x:c r="I262" s="13"/>
      <x:c r="J262" s="13"/>
      <x:c r="K262" s="13"/>
      <x:c r="L262" s="13"/>
      <x:c r="M262" s="13"/>
      <x:c r="N262" s="13"/>
      <x:c r="O262" s="13"/>
    </x:row>
    <x:row r="263">
      <x:c r="A263" s="10" t="n">
        <x:v>252</x:v>
      </x:c>
      <x:c r="B263" s="16" t="n">
        <x:v>0.982585146673955</x:v>
      </x:c>
      <x:c r="C263" s="16" t="n">
        <x:v>0.7771416617324576</x:v>
      </x:c>
      <x:c r="D263" s="10" t="n">
        <x:v>2</x:v>
      </x:c>
      <x:c r="E263" s="11" t="n">
        <x:f>IF(B263&lt;=$B$7,-LN(C263)/$B$8,-LN(C263)/$B$9)</x:f>
        <x:v>16.992535995389137</x:v>
      </x:c>
      <x:c r="F263" s="13"/>
      <x:c r="G263" s="13"/>
      <x:c r="H263" s="13"/>
      <x:c r="I263" s="13"/>
      <x:c r="J263" s="13"/>
      <x:c r="K263" s="13"/>
      <x:c r="L263" s="13"/>
      <x:c r="M263" s="13"/>
      <x:c r="N263" s="13"/>
      <x:c r="O263" s="13"/>
    </x:row>
    <x:row r="264">
      <x:c r="A264" s="10" t="n">
        <x:v>253</x:v>
      </x:c>
      <x:c r="B264" s="16" t="n">
        <x:v>0.9603694156976417</x:v>
      </x:c>
      <x:c r="C264" s="16" t="n">
        <x:v>0.1375383137492463</x:v>
      </x:c>
      <x:c r="D264" s="10" t="n">
        <x:v>2</x:v>
      </x:c>
      <x:c r="E264" s="11" t="n">
        <x:f>IF(B264&lt;=$B$7,-LN(C264)/$B$8,-LN(C264)/$B$9)</x:f>
        <x:v>133.70220996082955</x:v>
      </x:c>
      <x:c r="F264" s="13"/>
      <x:c r="G264" s="13"/>
      <x:c r="H264" s="13"/>
      <x:c r="I264" s="13"/>
      <x:c r="J264" s="13"/>
      <x:c r="K264" s="13"/>
      <x:c r="L264" s="13"/>
      <x:c r="M264" s="13"/>
      <x:c r="N264" s="13"/>
      <x:c r="O264" s="13"/>
    </x:row>
    <x:row r="265">
      <x:c r="A265" s="10" t="n">
        <x:v>254</x:v>
      </x:c>
      <x:c r="B265" s="16" t="n">
        <x:v>0.197567660943605</x:v>
      </x:c>
      <x:c r="C265" s="16" t="n">
        <x:v>0.5467063508694991</x:v>
      </x:c>
      <x:c r="D265" s="10" t="n">
        <x:v>1</x:v>
      </x:c>
      <x:c r="E265" s="11" t="n">
        <x:f>IF(B265&lt;=$B$7,-LN(C265)/$B$8,-LN(C265)/$B$9)</x:f>
        <x:v>2.574866083336432</x:v>
      </x:c>
      <x:c r="F265" s="13"/>
      <x:c r="G265" s="13"/>
      <x:c r="H265" s="13"/>
      <x:c r="I265" s="13"/>
      <x:c r="J265" s="13"/>
      <x:c r="K265" s="13"/>
      <x:c r="L265" s="13"/>
      <x:c r="M265" s="13"/>
      <x:c r="N265" s="13"/>
      <x:c r="O265" s="13"/>
    </x:row>
    <x:row r="266">
      <x:c r="A266" s="10" t="n">
        <x:v>255</x:v>
      </x:c>
      <x:c r="B266" s="16" t="n">
        <x:v>0.6245552498148754</x:v>
      </x:c>
      <x:c r="C266" s="16" t="n">
        <x:v>0.06307230226229876</x:v>
      </x:c>
      <x:c r="D266" s="10" t="n">
        <x:v>1</x:v>
      </x:c>
      <x:c r="E266" s="11" t="n">
        <x:f>IF(B266&lt;=$B$7,-LN(C266)/$B$8,-LN(C266)/$B$9)</x:f>
        <x:v>11.783806308018999</x:v>
      </x:c>
      <x:c r="F266" s="13"/>
      <x:c r="G266" s="13"/>
      <x:c r="H266" s="13"/>
      <x:c r="I266" s="13"/>
      <x:c r="J266" s="13"/>
      <x:c r="K266" s="13"/>
      <x:c r="L266" s="13"/>
      <x:c r="M266" s="13"/>
      <x:c r="N266" s="13"/>
      <x:c r="O266" s="13"/>
    </x:row>
    <x:row r="267">
      <x:c r="A267" s="10" t="n">
        <x:v>256</x:v>
      </x:c>
      <x:c r="B267" s="16" t="n">
        <x:v>0.6597973495954648</x:v>
      </x:c>
      <x:c r="C267" s="16" t="n">
        <x:v>0.4192095877369866</x:v>
      </x:c>
      <x:c r="D267" s="10" t="n">
        <x:v>1</x:v>
      </x:c>
      <x:c r="E267" s="11" t="n">
        <x:f>IF(B267&lt;=$B$7,-LN(C267)/$B$8,-LN(C267)/$B$9)</x:f>
        <x:v>3.7071662508005616</x:v>
      </x:c>
      <x:c r="F267" s="13"/>
      <x:c r="G267" s="13"/>
      <x:c r="H267" s="13"/>
      <x:c r="I267" s="13"/>
      <x:c r="J267" s="13"/>
      <x:c r="K267" s="13"/>
      <x:c r="L267" s="13"/>
      <x:c r="M267" s="13"/>
      <x:c r="N267" s="13"/>
      <x:c r="O267" s="13"/>
    </x:row>
    <x:row r="268">
      <x:c r="A268" s="10" t="n">
        <x:v>257</x:v>
      </x:c>
      <x:c r="B268" s="16" t="n">
        <x:v>0.07490210433024913</x:v>
      </x:c>
      <x:c r="C268" s="16" t="n">
        <x:v>0.6610845046816394</x:v>
      </x:c>
      <x:c r="D268" s="10" t="n">
        <x:v>1</x:v>
      </x:c>
      <x:c r="E268" s="11" t="n">
        <x:f>IF(B268&lt;=$B$7,-LN(C268)/$B$8,-LN(C268)/$B$9)</x:f>
        <x:v>1.7648102225847766</x:v>
      </x:c>
      <x:c r="F268" s="13"/>
      <x:c r="G268" s="13"/>
      <x:c r="H268" s="13"/>
      <x:c r="I268" s="13"/>
      <x:c r="J268" s="13"/>
      <x:c r="K268" s="13"/>
      <x:c r="L268" s="13"/>
      <x:c r="M268" s="13"/>
      <x:c r="N268" s="13"/>
      <x:c r="O268" s="13"/>
    </x:row>
    <x:row r="269">
      <x:c r="A269" s="10" t="n">
        <x:v>258</x:v>
      </x:c>
      <x:c r="B269" s="16" t="n">
        <x:v>0.9210294025251642</x:v>
      </x:c>
      <x:c r="C269" s="16" t="n">
        <x:v>0.7021123956656083</x:v>
      </x:c>
      <x:c r="D269" s="10" t="n">
        <x:v>1</x:v>
      </x:c>
      <x:c r="E269" s="11" t="n">
        <x:f>IF(B269&lt;=$B$7,-LN(C269)/$B$8,-LN(C269)/$B$9)</x:f>
        <x:v>1.508059270310238</x:v>
      </x:c>
      <x:c r="F269" s="13"/>
      <x:c r="G269" s="13"/>
      <x:c r="H269" s="13"/>
      <x:c r="I269" s="13"/>
      <x:c r="J269" s="13"/>
      <x:c r="K269" s="13"/>
      <x:c r="L269" s="13"/>
      <x:c r="M269" s="13"/>
      <x:c r="N269" s="13"/>
      <x:c r="O269" s="13"/>
    </x:row>
    <x:row r="270">
      <x:c r="A270" s="10" t="n">
        <x:v>259</x:v>
      </x:c>
      <x:c r="B270" s="16" t="n">
        <x:v>0.871269493480213</x:v>
      </x:c>
      <x:c r="C270" s="16" t="n">
        <x:v>0.08950934826862067</x:v>
      </x:c>
      <x:c r="D270" s="10" t="n">
        <x:v>1</x:v>
      </x:c>
      <x:c r="E270" s="11" t="n">
        <x:f>IF(B270&lt;=$B$7,-LN(C270)/$B$8,-LN(C270)/$B$9)</x:f>
        <x:v>10.29109974887416</x:v>
      </x:c>
      <x:c r="F270" s="13"/>
      <x:c r="G270" s="13"/>
      <x:c r="H270" s="13"/>
      <x:c r="I270" s="13"/>
      <x:c r="J270" s="13"/>
      <x:c r="K270" s="13"/>
      <x:c r="L270" s="13"/>
      <x:c r="M270" s="13"/>
      <x:c r="N270" s="13"/>
      <x:c r="O270" s="13"/>
    </x:row>
    <x:row r="271">
      <x:c r="A271" s="10" t="n">
        <x:v>260</x:v>
      </x:c>
      <x:c r="B271" s="16" t="n">
        <x:v>0.7838010225677863</x:v>
      </x:c>
      <x:c r="C271" s="16" t="n">
        <x:v>0.6329638411989436</x:v>
      </x:c>
      <x:c r="D271" s="10" t="n">
        <x:v>1</x:v>
      </x:c>
      <x:c r="E271" s="11" t="n">
        <x:f>IF(B271&lt;=$B$7,-LN(C271)/$B$8,-LN(C271)/$B$9)</x:f>
        <x:v>1.9501649704573156</x:v>
      </x:c>
      <x:c r="F271" s="13"/>
      <x:c r="G271" s="13"/>
      <x:c r="H271" s="13"/>
      <x:c r="I271" s="13"/>
      <x:c r="J271" s="13"/>
      <x:c r="K271" s="13"/>
      <x:c r="L271" s="13"/>
      <x:c r="M271" s="13"/>
      <x:c r="N271" s="13"/>
      <x:c r="O271" s="13"/>
    </x:row>
    <x:row r="272">
      <x:c r="A272" s="10" t="n">
        <x:v>261</x:v>
      </x:c>
      <x:c r="B272" s="16" t="n">
        <x:v>0.3736458682687953</x:v>
      </x:c>
      <x:c r="C272" s="16" t="n">
        <x:v>0.12475431326311082</x:v>
      </x:c>
      <x:c r="D272" s="10" t="n">
        <x:v>1</x:v>
      </x:c>
      <x:c r="E272" s="11" t="n">
        <x:f>IF(B272&lt;=$B$7,-LN(C272)/$B$8,-LN(C272)/$B$9)</x:f>
        <x:v>8.875395277862562</x:v>
      </x:c>
      <x:c r="F272" s="13"/>
      <x:c r="G272" s="13"/>
      <x:c r="H272" s="13"/>
      <x:c r="I272" s="13"/>
      <x:c r="J272" s="13"/>
      <x:c r="K272" s="13"/>
      <x:c r="L272" s="13"/>
      <x:c r="M272" s="13"/>
      <x:c r="N272" s="13"/>
      <x:c r="O272" s="13"/>
    </x:row>
    <x:row r="273">
      <x:c r="A273" s="10" t="n">
        <x:v>262</x:v>
      </x:c>
      <x:c r="B273" s="16" t="n">
        <x:v>0.9091584762791172</x:v>
      </x:c>
      <x:c r="C273" s="16" t="n">
        <x:v>0.24860269424971193</x:v>
      </x:c>
      <x:c r="D273" s="10" t="n">
        <x:v>1</x:v>
      </x:c>
      <x:c r="E273" s="11" t="n">
        <x:f>IF(B273&lt;=$B$7,-LN(C273)/$B$8,-LN(C273)/$B$9)</x:f>
        <x:v>5.935237293357709</x:v>
      </x:c>
      <x:c r="F273" s="13"/>
      <x:c r="G273" s="13"/>
      <x:c r="H273" s="13"/>
      <x:c r="I273" s="13"/>
      <x:c r="J273" s="13"/>
      <x:c r="K273" s="13"/>
      <x:c r="L273" s="13"/>
      <x:c r="M273" s="13"/>
      <x:c r="N273" s="13"/>
      <x:c r="O273" s="13"/>
    </x:row>
    <x:row r="274">
      <x:c r="A274" s="10" t="n">
        <x:v>263</x:v>
      </x:c>
      <x:c r="B274" s="16" t="n">
        <x:v>0.6355201984988526</x:v>
      </x:c>
      <x:c r="C274" s="16" t="n">
        <x:v>0.4942804992897436</x:v>
      </x:c>
      <x:c r="D274" s="10" t="n">
        <x:v>1</x:v>
      </x:c>
      <x:c r="E274" s="11" t="n">
        <x:f>IF(B274&lt;=$B$7,-LN(C274)/$B$8,-LN(C274)/$B$9)</x:f>
        <x:v>3.0047271372995494</x:v>
      </x:c>
      <x:c r="F274" s="13"/>
      <x:c r="G274" s="13"/>
      <x:c r="H274" s="13"/>
      <x:c r="I274" s="13"/>
      <x:c r="J274" s="13"/>
      <x:c r="K274" s="13"/>
      <x:c r="L274" s="13"/>
      <x:c r="M274" s="13"/>
      <x:c r="N274" s="13"/>
      <x:c r="O274" s="13"/>
    </x:row>
    <x:row r="275">
      <x:c r="A275" s="10" t="n">
        <x:v>264</x:v>
      </x:c>
      <x:c r="B275" s="16" t="n">
        <x:v>0.4839544572168961</x:v>
      </x:c>
      <x:c r="C275" s="16" t="n">
        <x:v>0.5287731507560238</x:v>
      </x:c>
      <x:c r="D275" s="10" t="n">
        <x:v>1</x:v>
      </x:c>
      <x:c r="E275" s="11" t="n">
        <x:f>IF(B275&lt;=$B$7,-LN(C275)/$B$8,-LN(C275)/$B$9)</x:f>
        <x:v>2.717084615191658</x:v>
      </x:c>
      <x:c r="F275" s="13"/>
      <x:c r="G275" s="13"/>
      <x:c r="H275" s="13"/>
      <x:c r="I275" s="13"/>
      <x:c r="J275" s="13"/>
      <x:c r="K275" s="13"/>
      <x:c r="L275" s="13"/>
      <x:c r="M275" s="13"/>
      <x:c r="N275" s="13"/>
      <x:c r="O275" s="13"/>
    </x:row>
    <x:row r="276">
      <x:c r="A276" s="10" t="n">
        <x:v>265</x:v>
      </x:c>
      <x:c r="B276" s="16" t="n">
        <x:v>0.3646363673033193</x:v>
      </x:c>
      <x:c r="C276" s="16" t="n">
        <x:v>0.5851597542641684</x:v>
      </x:c>
      <x:c r="D276" s="10" t="n">
        <x:v>1</x:v>
      </x:c>
      <x:c r="E276" s="11" t="n">
        <x:f>IF(B276&lt;=$B$7,-LN(C276)/$B$8,-LN(C276)/$B$9)</x:f>
        <x:v>2.2850201724980974</x:v>
      </x:c>
      <x:c r="F276" s="13"/>
      <x:c r="G276" s="13"/>
      <x:c r="H276" s="13"/>
      <x:c r="I276" s="13"/>
      <x:c r="J276" s="13"/>
      <x:c r="K276" s="13"/>
      <x:c r="L276" s="13"/>
      <x:c r="M276" s="13"/>
      <x:c r="N276" s="13"/>
      <x:c r="O276" s="13"/>
    </x:row>
    <x:row r="277">
      <x:c r="A277" s="10" t="n">
        <x:v>266</x:v>
      </x:c>
      <x:c r="B277" s="16" t="n">
        <x:v>0.2758407617220655</x:v>
      </x:c>
      <x:c r="C277" s="16" t="n">
        <x:v>0.07977961783763021</x:v>
      </x:c>
      <x:c r="D277" s="10" t="n">
        <x:v>1</x:v>
      </x:c>
      <x:c r="E277" s="11" t="n">
        <x:f>IF(B277&lt;=$B$7,-LN(C277)/$B$8,-LN(C277)/$B$9)</x:f>
        <x:v>10.781794391886486</x:v>
      </x:c>
      <x:c r="F277" s="13"/>
      <x:c r="G277" s="13"/>
      <x:c r="H277" s="13"/>
      <x:c r="I277" s="13"/>
      <x:c r="J277" s="13"/>
      <x:c r="K277" s="13"/>
      <x:c r="L277" s="13"/>
      <x:c r="M277" s="13"/>
      <x:c r="N277" s="13"/>
      <x:c r="O277" s="13"/>
    </x:row>
    <x:row r="278">
      <x:c r="A278" s="10" t="n">
        <x:v>267</x:v>
      </x:c>
      <x:c r="B278" s="16" t="n">
        <x:v>0.4042553781764582</x:v>
      </x:c>
      <x:c r="C278" s="16" t="n">
        <x:v>0.4192333657993004</x:v>
      </x:c>
      <x:c r="D278" s="10" t="n">
        <x:v>1</x:v>
      </x:c>
      <x:c r="E278" s="11" t="n">
        <x:f>IF(B278&lt;=$B$7,-LN(C278)/$B$8,-LN(C278)/$B$9)</x:f>
        <x:v>3.7069243912621297</x:v>
      </x:c>
      <x:c r="F278" s="13"/>
      <x:c r="G278" s="13"/>
      <x:c r="H278" s="13"/>
      <x:c r="I278" s="13"/>
      <x:c r="J278" s="13"/>
      <x:c r="K278" s="13"/>
      <x:c r="L278" s="13"/>
      <x:c r="M278" s="13"/>
      <x:c r="N278" s="13"/>
      <x:c r="O278" s="13"/>
    </x:row>
    <x:row r="279">
      <x:c r="A279" s="10" t="n">
        <x:v>268</x:v>
      </x:c>
      <x:c r="B279" s="16" t="n">
        <x:v>0.6540812772000208</x:v>
      </x:c>
      <x:c r="C279" s="16" t="n">
        <x:v>0.8738055614521727</x:v>
      </x:c>
      <x:c r="D279" s="10" t="n">
        <x:v>1</x:v>
      </x:c>
      <x:c r="E279" s="11" t="n">
        <x:f>IF(B279&lt;=$B$7,-LN(C279)/$B$8,-LN(C279)/$B$9)</x:f>
        <x:v>0.5752198366400664</x:v>
      </x:c>
      <x:c r="F279" s="13"/>
      <x:c r="G279" s="13"/>
      <x:c r="H279" s="13"/>
      <x:c r="I279" s="13"/>
      <x:c r="J279" s="13"/>
      <x:c r="K279" s="13"/>
      <x:c r="L279" s="13"/>
      <x:c r="M279" s="13"/>
      <x:c r="N279" s="13"/>
      <x:c r="O279" s="13"/>
    </x:row>
    <x:row r="280">
      <x:c r="A280" s="10" t="n">
        <x:v>269</x:v>
      </x:c>
      <x:c r="B280" s="16" t="n">
        <x:v>0.4380503745051101</x:v>
      </x:c>
      <x:c r="C280" s="16" t="n">
        <x:v>0.03549731511157006</x:v>
      </x:c>
      <x:c r="D280" s="10" t="n">
        <x:v>1</x:v>
      </x:c>
      <x:c r="E280" s="11" t="n">
        <x:f>IF(B280&lt;=$B$7,-LN(C280)/$B$8,-LN(C280)/$B$9)</x:f>
        <x:v>14.234932516381745</x:v>
      </x:c>
      <x:c r="F280" s="13"/>
      <x:c r="G280" s="13"/>
      <x:c r="H280" s="13"/>
      <x:c r="I280" s="13"/>
      <x:c r="J280" s="13"/>
      <x:c r="K280" s="13"/>
      <x:c r="L280" s="13"/>
      <x:c r="M280" s="13"/>
      <x:c r="N280" s="13"/>
      <x:c r="O280" s="13"/>
    </x:row>
    <x:row r="281">
      <x:c r="A281" s="10" t="n">
        <x:v>270</x:v>
      </x:c>
      <x:c r="B281" s="16" t="n">
        <x:v>0.4043102829018608</x:v>
      </x:c>
      <x:c r="C281" s="16" t="n">
        <x:v>0.8095214165514335</x:v>
      </x:c>
      <x:c r="D281" s="10" t="n">
        <x:v>1</x:v>
      </x:c>
      <x:c r="E281" s="11" t="n">
        <x:f>IF(B281&lt;=$B$7,-LN(C281)/$B$8,-LN(C281)/$B$9)</x:f>
        <x:v>0.9010617304616358</x:v>
      </x:c>
      <x:c r="F281" s="13"/>
      <x:c r="G281" s="13"/>
      <x:c r="H281" s="13"/>
      <x:c r="I281" s="13"/>
      <x:c r="J281" s="13"/>
      <x:c r="K281" s="13"/>
      <x:c r="L281" s="13"/>
      <x:c r="M281" s="13"/>
      <x:c r="N281" s="13"/>
      <x:c r="O281" s="13"/>
    </x:row>
    <x:row r="282">
      <x:c r="A282" s="10" t="n">
        <x:v>271</x:v>
      </x:c>
      <x:c r="B282" s="16" t="n">
        <x:v>0.8717594715999439</x:v>
      </x:c>
      <x:c r="C282" s="16" t="n">
        <x:v>0.6703390934271738</x:v>
      </x:c>
      <x:c r="D282" s="10" t="n">
        <x:v>1</x:v>
      </x:c>
      <x:c r="E282" s="11" t="n">
        <x:f>IF(B282&lt;=$B$7,-LN(C282)/$B$8,-LN(C282)/$B$9)</x:f>
        <x:v>1.7055302291789032</x:v>
      </x:c>
      <x:c r="F282" s="13"/>
      <x:c r="G282" s="13"/>
      <x:c r="H282" s="13"/>
      <x:c r="I282" s="13"/>
      <x:c r="J282" s="13"/>
      <x:c r="K282" s="13"/>
      <x:c r="L282" s="13"/>
      <x:c r="M282" s="13"/>
      <x:c r="N282" s="13"/>
      <x:c r="O282" s="13"/>
    </x:row>
    <x:row r="283">
      <x:c r="A283" s="10" t="n">
        <x:v>272</x:v>
      </x:c>
      <x:c r="B283" s="16" t="n">
        <x:v>0.41536106320563704</x:v>
      </x:c>
      <x:c r="C283" s="16" t="n">
        <x:v>0.10960655973758548</x:v>
      </x:c>
      <x:c r="D283" s="10" t="n">
        <x:v>1</x:v>
      </x:c>
      <x:c r="E283" s="11" t="n">
        <x:f>IF(B283&lt;=$B$7,-LN(C283)/$B$8,-LN(C283)/$B$9)</x:f>
        <x:v>9.427382808416962</x:v>
      </x:c>
      <x:c r="F283" s="13"/>
      <x:c r="G283" s="13"/>
      <x:c r="H283" s="13"/>
      <x:c r="I283" s="13"/>
      <x:c r="J283" s="13"/>
      <x:c r="K283" s="13"/>
      <x:c r="L283" s="13"/>
      <x:c r="M283" s="13"/>
      <x:c r="N283" s="13"/>
      <x:c r="O283" s="13"/>
    </x:row>
    <x:row r="284">
      <x:c r="A284" s="10" t="n">
        <x:v>273</x:v>
      </x:c>
      <x:c r="B284" s="16" t="n">
        <x:v>0.0947214012267068</x:v>
      </x:c>
      <x:c r="C284" s="16" t="n">
        <x:v>0.3762510808883235</x:v>
      </x:c>
      <x:c r="D284" s="10" t="n">
        <x:v>1</x:v>
      </x:c>
      <x:c r="E284" s="11" t="n">
        <x:f>IF(B284&lt;=$B$7,-LN(C284)/$B$8,-LN(C284)/$B$9)</x:f>
        <x:v>4.168179582814076</x:v>
      </x:c>
      <x:c r="F284" s="13"/>
      <x:c r="G284" s="13"/>
      <x:c r="H284" s="13"/>
      <x:c r="I284" s="13"/>
      <x:c r="J284" s="13"/>
      <x:c r="K284" s="13"/>
      <x:c r="L284" s="13"/>
      <x:c r="M284" s="13"/>
      <x:c r="N284" s="13"/>
      <x:c r="O284" s="13"/>
    </x:row>
    <x:row r="285">
      <x:c r="A285" s="10" t="n">
        <x:v>274</x:v>
      </x:c>
      <x:c r="B285" s="16" t="n">
        <x:v>0.5662898333976045</x:v>
      </x:c>
      <x:c r="C285" s="16" t="n">
        <x:v>0.8208103444194421</x:v>
      </x:c>
      <x:c r="D285" s="10" t="n">
        <x:v>1</x:v>
      </x:c>
      <x:c r="E285" s="11" t="n">
        <x:f>IF(B285&lt;=$B$7,-LN(C285)/$B$8,-LN(C285)/$B$9)</x:f>
        <x:v>0.842008463632343</x:v>
      </x:c>
      <x:c r="F285" s="13"/>
      <x:c r="G285" s="13"/>
      <x:c r="H285" s="13"/>
      <x:c r="I285" s="13"/>
      <x:c r="J285" s="13"/>
      <x:c r="K285" s="13"/>
      <x:c r="L285" s="13"/>
      <x:c r="M285" s="13"/>
      <x:c r="N285" s="13"/>
      <x:c r="O285" s="13"/>
    </x:row>
    <x:row r="286">
      <x:c r="A286" s="10" t="n">
        <x:v>275</x:v>
      </x:c>
      <x:c r="B286" s="16" t="n">
        <x:v>0.5744189686374739</x:v>
      </x:c>
      <x:c r="C286" s="16" t="n">
        <x:v>0.9696454879594967</x:v>
      </x:c>
      <x:c r="D286" s="10" t="n">
        <x:v>1</x:v>
      </x:c>
      <x:c r="E286" s="11" t="n">
        <x:f>IF(B286&lt;=$B$7,-LN(C286)/$B$8,-LN(C286)/$B$9)</x:f>
        <x:v>0.13144069717137732</x:v>
      </x:c>
      <x:c r="F286" s="13"/>
      <x:c r="G286" s="13"/>
      <x:c r="H286" s="13"/>
      <x:c r="I286" s="13"/>
      <x:c r="J286" s="13"/>
      <x:c r="K286" s="13"/>
      <x:c r="L286" s="13"/>
      <x:c r="M286" s="13"/>
      <x:c r="N286" s="13"/>
      <x:c r="O286" s="13"/>
    </x:row>
    <x:row r="287">
      <x:c r="A287" s="10" t="n">
        <x:v>276</x:v>
      </x:c>
      <x:c r="B287" s="16" t="n">
        <x:v>0.39171997795347124</x:v>
      </x:c>
      <x:c r="C287" s="16" t="n">
        <x:v>0.9321771984687075</x:v>
      </x:c>
      <x:c r="D287" s="10" t="n">
        <x:v>1</x:v>
      </x:c>
      <x:c r="E287" s="11" t="n">
        <x:f>IF(B287&lt;=$B$7,-LN(C287)/$B$8,-LN(C287)/$B$9)</x:f>
        <x:v>0.2994797866585834</x:v>
      </x:c>
      <x:c r="F287" s="13"/>
      <x:c r="G287" s="13"/>
      <x:c r="H287" s="13"/>
      <x:c r="I287" s="13"/>
      <x:c r="J287" s="13"/>
      <x:c r="K287" s="13"/>
      <x:c r="L287" s="13"/>
      <x:c r="M287" s="13"/>
      <x:c r="N287" s="13"/>
      <x:c r="O287" s="13"/>
    </x:row>
    <x:row r="288">
      <x:c r="A288" s="10" t="n">
        <x:v>277</x:v>
      </x:c>
      <x:c r="B288" s="16" t="n">
        <x:v>0.4871553221018985</x:v>
      </x:c>
      <x:c r="C288" s="16" t="n">
        <x:v>0.44839585933368653</x:v>
      </x:c>
      <x:c r="D288" s="10" t="n">
        <x:v>1</x:v>
      </x:c>
      <x:c r="E288" s="11" t="n">
        <x:f>IF(B288&lt;=$B$7,-LN(C288)/$B$8,-LN(C288)/$B$9)</x:f>
        <x:v>3.4201671531907922</x:v>
      </x:c>
      <x:c r="F288" s="13"/>
      <x:c r="G288" s="13"/>
      <x:c r="H288" s="13"/>
      <x:c r="I288" s="13"/>
      <x:c r="J288" s="13"/>
      <x:c r="K288" s="13"/>
      <x:c r="L288" s="13"/>
      <x:c r="M288" s="13"/>
      <x:c r="N288" s="13"/>
      <x:c r="O288" s="13"/>
    </x:row>
    <x:row r="289">
      <x:c r="A289" s="10" t="n">
        <x:v>278</x:v>
      </x:c>
      <x:c r="B289" s="16" t="n">
        <x:v>0.3536316013196483</x:v>
      </x:c>
      <x:c r="C289" s="16" t="n">
        <x:v>0.8770607843762264</x:v>
      </x:c>
      <x:c r="D289" s="10" t="n">
        <x:v>1</x:v>
      </x:c>
      <x:c r="E289" s="11" t="n">
        <x:f>IF(B289&lt;=$B$7,-LN(C289)/$B$8,-LN(C289)/$B$9)</x:f>
        <x:v>0.5593640235174678</x:v>
      </x:c>
      <x:c r="F289" s="13"/>
      <x:c r="G289" s="13"/>
      <x:c r="H289" s="13"/>
      <x:c r="I289" s="13"/>
      <x:c r="J289" s="13"/>
      <x:c r="K289" s="13"/>
      <x:c r="L289" s="13"/>
      <x:c r="M289" s="13"/>
      <x:c r="N289" s="13"/>
      <x:c r="O289" s="13"/>
    </x:row>
    <x:row r="290">
      <x:c r="A290" s="10" t="n">
        <x:v>279</x:v>
      </x:c>
      <x:c r="B290" s="16" t="n">
        <x:v>0.8379880349384621</x:v>
      </x:c>
      <x:c r="C290" s="16" t="n">
        <x:v>0.26973014033865184</x:v>
      </x:c>
      <x:c r="D290" s="10" t="n">
        <x:v>1</x:v>
      </x:c>
      <x:c r="E290" s="11" t="n">
        <x:f>IF(B290&lt;=$B$7,-LN(C290)/$B$8,-LN(C290)/$B$9)</x:f>
        <x:v>5.587429550271898</x:v>
      </x:c>
      <x:c r="F290" s="13"/>
      <x:c r="G290" s="13"/>
      <x:c r="H290" s="13"/>
      <x:c r="I290" s="13"/>
      <x:c r="J290" s="13"/>
      <x:c r="K290" s="13"/>
      <x:c r="L290" s="13"/>
      <x:c r="M290" s="13"/>
      <x:c r="N290" s="13"/>
      <x:c r="O290" s="13"/>
    </x:row>
    <x:row r="291">
      <x:c r="A291" s="10" t="n">
        <x:v>280</x:v>
      </x:c>
      <x:c r="B291" s="16" t="n">
        <x:v>0.7977213911945</x:v>
      </x:c>
      <x:c r="C291" s="16" t="n">
        <x:v>0.43455222190823406</x:v>
      </x:c>
      <x:c r="D291" s="10" t="n">
        <x:v>1</x:v>
      </x:c>
      <x:c r="E291" s="11" t="n">
        <x:f>IF(B291&lt;=$B$7,-LN(C291)/$B$8,-LN(C291)/$B$9)</x:f>
        <x:v>3.553891633272223</x:v>
      </x:c>
      <x:c r="F291" s="13"/>
      <x:c r="G291" s="13"/>
      <x:c r="H291" s="13"/>
      <x:c r="I291" s="13"/>
      <x:c r="J291" s="13"/>
      <x:c r="K291" s="13"/>
      <x:c r="L291" s="13"/>
      <x:c r="M291" s="13"/>
      <x:c r="N291" s="13"/>
      <x:c r="O291" s="13"/>
    </x:row>
    <x:row r="292">
      <x:c r="A292" s="10" t="n">
        <x:v>281</x:v>
      </x:c>
      <x:c r="B292" s="16" t="n">
        <x:v>0.2730460000457242</x:v>
      </x:c>
      <x:c r="C292" s="16" t="n">
        <x:v>0.129100305843167</x:v>
      </x:c>
      <x:c r="D292" s="10" t="n">
        <x:v>1</x:v>
      </x:c>
      <x:c r="E292" s="11" t="n">
        <x:f>IF(B292&lt;=$B$7,-LN(C292)/$B$8,-LN(C292)/$B$9)</x:f>
        <x:v>8.729377201272186</x:v>
      </x:c>
      <x:c r="F292" s="13"/>
      <x:c r="G292" s="13"/>
      <x:c r="H292" s="13"/>
      <x:c r="I292" s="13"/>
      <x:c r="J292" s="13"/>
      <x:c r="K292" s="13"/>
      <x:c r="L292" s="13"/>
      <x:c r="M292" s="13"/>
      <x:c r="N292" s="13"/>
      <x:c r="O292" s="13"/>
    </x:row>
    <x:row r="293">
      <x:c r="A293" s="10" t="n">
        <x:v>282</x:v>
      </x:c>
      <x:c r="B293" s="16" t="n">
        <x:v>0.9224577943095937</x:v>
      </x:c>
      <x:c r="C293" s="16" t="n">
        <x:v>0.29594737326260656</x:v>
      </x:c>
      <x:c r="D293" s="10" t="n">
        <x:v>1</x:v>
      </x:c>
      <x:c r="E293" s="11" t="n">
        <x:f>IF(B293&lt;=$B$7,-LN(C293)/$B$8,-LN(C293)/$B$9)</x:f>
        <x:v>5.19189041391653</x:v>
      </x:c>
      <x:c r="F293" s="13"/>
      <x:c r="G293" s="13"/>
      <x:c r="H293" s="13"/>
      <x:c r="I293" s="13"/>
      <x:c r="J293" s="13"/>
      <x:c r="K293" s="13"/>
      <x:c r="L293" s="13"/>
      <x:c r="M293" s="13"/>
      <x:c r="N293" s="13"/>
      <x:c r="O293" s="13"/>
    </x:row>
    <x:row r="294">
      <x:c r="A294" s="10" t="n">
        <x:v>283</x:v>
      </x:c>
      <x:c r="B294" s="16" t="n">
        <x:v>0.03735413693357259</x:v>
      </x:c>
      <x:c r="C294" s="16" t="n">
        <x:v>0.13065355166327208</x:v>
      </x:c>
      <x:c r="D294" s="10" t="n">
        <x:v>1</x:v>
      </x:c>
      <x:c r="E294" s="11" t="n">
        <x:f>IF(B294&lt;=$B$7,-LN(C294)/$B$8,-LN(C294)/$B$9)</x:f>
        <x:v>8.678380317118286</x:v>
      </x:c>
      <x:c r="F294" s="13"/>
      <x:c r="G294" s="13"/>
      <x:c r="H294" s="13"/>
      <x:c r="I294" s="13"/>
      <x:c r="J294" s="13"/>
      <x:c r="K294" s="13"/>
      <x:c r="L294" s="13"/>
      <x:c r="M294" s="13"/>
      <x:c r="N294" s="13"/>
      <x:c r="O294" s="13"/>
    </x:row>
    <x:row r="295">
      <x:c r="A295" s="10" t="n">
        <x:v>284</x:v>
      </x:c>
      <x:c r="B295" s="16" t="n">
        <x:v>0.33895650471094996</x:v>
      </x:c>
      <x:c r="C295" s="16" t="n">
        <x:v>0.8118781907251105</x:v>
      </x:c>
      <x:c r="D295" s="10" t="n">
        <x:v>1</x:v>
      </x:c>
      <x:c r="E295" s="11" t="n">
        <x:f>IF(B295&lt;=$B$7,-LN(C295)/$B$8,-LN(C295)/$B$9)</x:f>
        <x:v>0.888665532854862</x:v>
      </x:c>
      <x:c r="F295" s="13"/>
      <x:c r="G295" s="13"/>
      <x:c r="H295" s="13"/>
      <x:c r="I295" s="13"/>
      <x:c r="J295" s="13"/>
      <x:c r="K295" s="13"/>
      <x:c r="L295" s="13"/>
      <x:c r="M295" s="13"/>
      <x:c r="N295" s="13"/>
      <x:c r="O295" s="13"/>
    </x:row>
    <x:row r="296">
      <x:c r="A296" s="10" t="n">
        <x:v>285</x:v>
      </x:c>
      <x:c r="B296" s="16" t="n">
        <x:v>0.781290911254473</x:v>
      </x:c>
      <x:c r="C296" s="16" t="n">
        <x:v>0.4899300484685227</x:v>
      </x:c>
      <x:c r="D296" s="10" t="n">
        <x:v>1</x:v>
      </x:c>
      <x:c r="E296" s="11" t="n">
        <x:f>IF(B296&lt;=$B$7,-LN(C296)/$B$8,-LN(C296)/$B$9)</x:f>
        <x:v>3.042424359981868</x:v>
      </x:c>
      <x:c r="F296" s="13"/>
      <x:c r="G296" s="13"/>
      <x:c r="H296" s="13"/>
      <x:c r="I296" s="13"/>
      <x:c r="J296" s="13"/>
      <x:c r="K296" s="13"/>
      <x:c r="L296" s="13"/>
      <x:c r="M296" s="13"/>
      <x:c r="N296" s="13"/>
      <x:c r="O296" s="13"/>
    </x:row>
    <x:row r="297">
      <x:c r="A297" s="10" t="n">
        <x:v>286</x:v>
      </x:c>
      <x:c r="B297" s="16" t="n">
        <x:v>0.04980126454029232</x:v>
      </x:c>
      <x:c r="C297" s="16" t="n">
        <x:v>0.685733126825653</x:v>
      </x:c>
      <x:c r="D297" s="10" t="n">
        <x:v>1</x:v>
      </x:c>
      <x:c r="E297" s="11" t="n">
        <x:f>IF(B297&lt;=$B$7,-LN(C297)/$B$8,-LN(C297)/$B$9)</x:f>
        <x:v>1.6087139162334703</x:v>
      </x:c>
      <x:c r="F297" s="13"/>
      <x:c r="G297" s="13"/>
      <x:c r="H297" s="13"/>
      <x:c r="I297" s="13"/>
      <x:c r="J297" s="13"/>
      <x:c r="K297" s="13"/>
      <x:c r="L297" s="13"/>
      <x:c r="M297" s="13"/>
      <x:c r="N297" s="13"/>
      <x:c r="O297" s="13"/>
    </x:row>
    <x:row r="298">
      <x:c r="A298" s="10" t="n">
        <x:v>287</x:v>
      </x:c>
      <x:c r="B298" s="16" t="n">
        <x:v>0.16880366683471948</x:v>
      </x:c>
      <x:c r="C298" s="16" t="n">
        <x:v>0.15941225818824023</x:v>
      </x:c>
      <x:c r="D298" s="10" t="n">
        <x:v>1</x:v>
      </x:c>
      <x:c r="E298" s="11" t="n">
        <x:f>IF(B298&lt;=$B$7,-LN(C298)/$B$8,-LN(C298)/$B$9)</x:f>
        <x:v>7.830055453250479</x:v>
      </x:c>
      <x:c r="F298" s="13"/>
      <x:c r="G298" s="13"/>
      <x:c r="H298" s="13"/>
      <x:c r="I298" s="13"/>
      <x:c r="J298" s="13"/>
      <x:c r="K298" s="13"/>
      <x:c r="L298" s="13"/>
      <x:c r="M298" s="13"/>
      <x:c r="N298" s="13"/>
      <x:c r="O298" s="13"/>
    </x:row>
    <x:row r="299">
      <x:c r="A299" s="10" t="n">
        <x:v>288</x:v>
      </x:c>
      <x:c r="B299" s="16" t="n">
        <x:v>0.9249349773162976</x:v>
      </x:c>
      <x:c r="C299" s="16" t="n">
        <x:v>0.628991606994532</x:v>
      </x:c>
      <x:c r="D299" s="10" t="n">
        <x:v>1</x:v>
      </x:c>
      <x:c r="E299" s="11" t="n">
        <x:f>IF(B299&lt;=$B$7,-LN(C299)/$B$8,-LN(C299)/$B$9)</x:f>
        <x:v>1.9770092984207204</x:v>
      </x:c>
      <x:c r="F299" s="13"/>
      <x:c r="G299" s="13"/>
      <x:c r="H299" s="13"/>
      <x:c r="I299" s="13"/>
      <x:c r="J299" s="13"/>
      <x:c r="K299" s="13"/>
      <x:c r="L299" s="13"/>
      <x:c r="M299" s="13"/>
      <x:c r="N299" s="13"/>
      <x:c r="O299" s="13"/>
    </x:row>
    <x:row r="300">
      <x:c r="A300" s="10" t="n">
        <x:v>289</x:v>
      </x:c>
      <x:c r="B300" s="16" t="n">
        <x:v>0.490506770205684</x:v>
      </x:c>
      <x:c r="C300" s="16" t="n">
        <x:v>0.017550812917761505</x:v>
      </x:c>
      <x:c r="D300" s="10" t="n">
        <x:v>1</x:v>
      </x:c>
      <x:c r="E300" s="11" t="n">
        <x:f>IF(B300&lt;=$B$7,-LN(C300)/$B$8,-LN(C300)/$B$9)</x:f>
        <x:v>17.23840038579976</x:v>
      </x:c>
      <x:c r="F300" s="13"/>
      <x:c r="G300" s="13"/>
      <x:c r="H300" s="13"/>
      <x:c r="I300" s="13"/>
      <x:c r="J300" s="13"/>
      <x:c r="K300" s="13"/>
      <x:c r="L300" s="13"/>
      <x:c r="M300" s="13"/>
      <x:c r="N300" s="13"/>
      <x:c r="O300" s="13"/>
    </x:row>
    <x:row r="301">
      <x:c r="A301" s="10" t="n">
        <x:v>290</x:v>
      </x:c>
      <x:c r="B301" s="16" t="n">
        <x:v>0.0027461337158456445</x:v>
      </x:c>
      <x:c r="C301" s="16" t="n">
        <x:v>0.24409756471868604</x:v>
      </x:c>
      <x:c r="D301" s="10" t="n">
        <x:v>1</x:v>
      </x:c>
      <x:c r="E301" s="11" t="n">
        <x:f>IF(B301&lt;=$B$7,-LN(C301)/$B$8,-LN(C301)/$B$9)</x:f>
        <x:v>6.013219743034342</x:v>
      </x:c>
      <x:c r="F301" s="13"/>
      <x:c r="G301" s="13"/>
      <x:c r="H301" s="13"/>
      <x:c r="I301" s="13"/>
      <x:c r="J301" s="13"/>
      <x:c r="K301" s="13"/>
      <x:c r="L301" s="13"/>
      <x:c r="M301" s="13"/>
      <x:c r="N301" s="13"/>
      <x:c r="O301" s="13"/>
    </x:row>
    <x:row r="302">
      <x:c r="A302" s="10" t="n">
        <x:v>291</x:v>
      </x:c>
      <x:c r="B302" s="16" t="n">
        <x:v>0.7347875676350668</x:v>
      </x:c>
      <x:c r="C302" s="16" t="n">
        <x:v>0.5118919563246891</x:v>
      </x:c>
      <x:c r="D302" s="10" t="n">
        <x:v>1</x:v>
      </x:c>
      <x:c r="E302" s="11" t="n">
        <x:f>IF(B302&lt;=$B$7,-LN(C302)/$B$8,-LN(C302)/$B$9)</x:f>
        <x:v>2.855438243916828</x:v>
      </x:c>
      <x:c r="F302" s="13"/>
      <x:c r="G302" s="13"/>
      <x:c r="H302" s="13"/>
      <x:c r="I302" s="13"/>
      <x:c r="J302" s="13"/>
      <x:c r="K302" s="13"/>
      <x:c r="L302" s="13"/>
      <x:c r="M302" s="13"/>
      <x:c r="N302" s="13"/>
      <x:c r="O302" s="13"/>
    </x:row>
    <x:row r="303">
      <x:c r="A303" s="10" t="n">
        <x:v>292</x:v>
      </x:c>
      <x:c r="B303" s="16" t="n">
        <x:v>0.1944755498552695</x:v>
      </x:c>
      <x:c r="C303" s="16" t="n">
        <x:v>0.6504970391979441</x:v>
      </x:c>
      <x:c r="D303" s="10" t="n">
        <x:v>1</x:v>
      </x:c>
      <x:c r="E303" s="11" t="n">
        <x:f>IF(B303&lt;=$B$7,-LN(C303)/$B$8,-LN(C303)/$B$9)</x:f>
        <x:v>1.8336542742782578</x:v>
      </x:c>
      <x:c r="F303" s="13"/>
      <x:c r="G303" s="13"/>
      <x:c r="H303" s="13"/>
      <x:c r="I303" s="13"/>
      <x:c r="J303" s="13"/>
      <x:c r="K303" s="13"/>
      <x:c r="L303" s="13"/>
      <x:c r="M303" s="13"/>
      <x:c r="N303" s="13"/>
      <x:c r="O303" s="13"/>
    </x:row>
    <x:row r="304">
      <x:c r="A304" s="10" t="n">
        <x:v>293</x:v>
      </x:c>
      <x:c r="B304" s="16" t="n">
        <x:v>0.8200451546581462</x:v>
      </x:c>
      <x:c r="C304" s="16" t="n">
        <x:v>0.8969315475551412</x:v>
      </x:c>
      <x:c r="D304" s="10" t="n">
        <x:v>1</x:v>
      </x:c>
      <x:c r="E304" s="11" t="n">
        <x:f>IF(B304&lt;=$B$7,-LN(C304)/$B$8,-LN(C304)/$B$9)</x:f>
        <x:v>0.46383369942278313</x:v>
      </x:c>
      <x:c r="F304" s="13"/>
      <x:c r="G304" s="13"/>
      <x:c r="H304" s="13"/>
      <x:c r="I304" s="13"/>
      <x:c r="J304" s="13"/>
      <x:c r="K304" s="13"/>
      <x:c r="L304" s="13"/>
      <x:c r="M304" s="13"/>
      <x:c r="N304" s="13"/>
      <x:c r="O304" s="13"/>
    </x:row>
    <x:row r="305">
      <x:c r="A305" s="10" t="n">
        <x:v>294</x:v>
      </x:c>
      <x:c r="B305" s="16" t="n">
        <x:v>0.22006841807160527</x:v>
      </x:c>
      <x:c r="C305" s="16" t="n">
        <x:v>0.619464835501276</x:v>
      </x:c>
      <x:c r="D305" s="10" t="n">
        <x:v>1</x:v>
      </x:c>
      <x:c r="E305" s="11" t="n">
        <x:f>IF(B305&lt;=$B$7,-LN(C305)/$B$8,-LN(C305)/$B$9)</x:f>
        <x:v>2.042088326957058</x:v>
      </x:c>
      <x:c r="F305" s="13"/>
      <x:c r="G305" s="13"/>
      <x:c r="H305" s="13"/>
      <x:c r="I305" s="13"/>
      <x:c r="J305" s="13"/>
      <x:c r="K305" s="13"/>
      <x:c r="L305" s="13"/>
      <x:c r="M305" s="13"/>
      <x:c r="N305" s="13"/>
      <x:c r="O305" s="13"/>
    </x:row>
    <x:row r="306">
      <x:c r="A306" s="10" t="n">
        <x:v>295</x:v>
      </x:c>
      <x:c r="B306" s="16" t="n">
        <x:v>0.9411869581090286</x:v>
      </x:c>
      <x:c r="C306" s="16" t="n">
        <x:v>0.4573206276400015</x:v>
      </x:c>
      <x:c r="D306" s="10" t="n">
        <x:v>2</x:v>
      </x:c>
      <x:c r="E306" s="11" t="n">
        <x:f>IF(B306&lt;=$B$7,-LN(C306)/$B$8,-LN(C306)/$B$9)</x:f>
        <x:v>52.72804152479681</x:v>
      </x:c>
      <x:c r="F306" s="13"/>
      <x:c r="G306" s="13"/>
      <x:c r="H306" s="13"/>
      <x:c r="I306" s="13"/>
      <x:c r="J306" s="13"/>
      <x:c r="K306" s="13"/>
      <x:c r="L306" s="13"/>
      <x:c r="M306" s="13"/>
      <x:c r="N306" s="13"/>
      <x:c r="O306" s="13"/>
    </x:row>
    <x:row r="307">
      <x:c r="A307" s="10" t="n">
        <x:v>296</x:v>
      </x:c>
      <x:c r="B307" s="16" t="n">
        <x:v>0.8535966702038422</x:v>
      </x:c>
      <x:c r="C307" s="16" t="n">
        <x:v>0.23334524722304195</x:v>
      </x:c>
      <x:c r="D307" s="10" t="n">
        <x:v>1</x:v>
      </x:c>
      <x:c r="E307" s="11" t="n">
        <x:f>IF(B307&lt;=$B$7,-LN(C307)/$B$8,-LN(C307)/$B$9)</x:f>
        <x:v>6.2053140244706</x:v>
      </x:c>
      <x:c r="F307" s="13"/>
      <x:c r="G307" s="13"/>
      <x:c r="H307" s="13"/>
      <x:c r="I307" s="13"/>
      <x:c r="J307" s="13"/>
      <x:c r="K307" s="13"/>
      <x:c r="L307" s="13"/>
      <x:c r="M307" s="13"/>
      <x:c r="N307" s="13"/>
      <x:c r="O307" s="13"/>
    </x:row>
    <x:row r="308">
      <x:c r="A308" s="10" t="n">
        <x:v>297</x:v>
      </x:c>
      <x:c r="B308" s="16" t="n">
        <x:v>0.23350813065189868</x:v>
      </x:c>
      <x:c r="C308" s="16" t="n">
        <x:v>0.3570475484011695</x:v>
      </x:c>
      <x:c r="D308" s="10" t="n">
        <x:v>1</x:v>
      </x:c>
      <x:c r="E308" s="11" t="n">
        <x:f>IF(B308&lt;=$B$7,-LN(C308)/$B$8,-LN(C308)/$B$9)</x:f>
        <x:v>4.3915675824175</x:v>
      </x:c>
      <x:c r="F308" s="13"/>
      <x:c r="G308" s="13"/>
      <x:c r="H308" s="13"/>
      <x:c r="I308" s="13"/>
      <x:c r="J308" s="13"/>
      <x:c r="K308" s="13"/>
      <x:c r="L308" s="13"/>
      <x:c r="M308" s="13"/>
      <x:c r="N308" s="13"/>
      <x:c r="O308" s="13"/>
    </x:row>
    <x:row r="309">
      <x:c r="A309" s="10" t="n">
        <x:v>298</x:v>
      </x:c>
      <x:c r="B309" s="16" t="n">
        <x:v>0.8063766533741727</x:v>
      </x:c>
      <x:c r="C309" s="16" t="n">
        <x:v>0.33483184163924307</x:v>
      </x:c>
      <x:c r="D309" s="10" t="n">
        <x:v>1</x:v>
      </x:c>
      <x:c r="E309" s="11" t="n">
        <x:f>IF(B309&lt;=$B$7,-LN(C309)/$B$8,-LN(C309)/$B$9)</x:f>
        <x:v>4.6654974186569405</x:v>
      </x:c>
      <x:c r="F309" s="13"/>
      <x:c r="G309" s="13"/>
      <x:c r="H309" s="13"/>
      <x:c r="I309" s="13"/>
      <x:c r="J309" s="13"/>
      <x:c r="K309" s="13"/>
      <x:c r="L309" s="13"/>
      <x:c r="M309" s="13"/>
      <x:c r="N309" s="13"/>
      <x:c r="O309" s="13"/>
    </x:row>
    <x:row r="310">
      <x:c r="A310" s="10" t="n">
        <x:v>299</x:v>
      </x:c>
      <x:c r="B310" s="16" t="n">
        <x:v>0.20707875781226903</x:v>
      </x:c>
      <x:c r="C310" s="16" t="n">
        <x:v>0.005221663857810199</x:v>
      </x:c>
      <x:c r="D310" s="10" t="n">
        <x:v>1</x:v>
      </x:c>
      <x:c r="E310" s="11" t="n">
        <x:f>IF(B310&lt;=$B$7,-LN(C310)/$B$8,-LN(C310)/$B$9)</x:f>
        <x:v>22.407735852551234</x:v>
      </x:c>
      <x:c r="F310" s="13"/>
      <x:c r="G310" s="13"/>
      <x:c r="H310" s="13"/>
      <x:c r="I310" s="13"/>
      <x:c r="J310" s="13"/>
      <x:c r="K310" s="13"/>
      <x:c r="L310" s="13"/>
      <x:c r="M310" s="13"/>
      <x:c r="N310" s="13"/>
      <x:c r="O310" s="13"/>
    </x:row>
    <x:row r="311">
      <x:c r="A311" s="10" t="n">
        <x:v>300</x:v>
      </x:c>
      <x:c r="B311" s="16" t="n">
        <x:v>0.8259071182692423</x:v>
      </x:c>
      <x:c r="C311" s="16" t="n">
        <x:v>0.2819113073637709</x:v>
      </x:c>
      <x:c r="D311" s="10" t="n">
        <x:v>1</x:v>
      </x:c>
      <x:c r="E311" s="11" t="n">
        <x:f>IF(B311&lt;=$B$7,-LN(C311)/$B$8,-LN(C311)/$B$9)</x:f>
        <x:v>5.399080736710323</x:v>
      </x:c>
      <x:c r="F311" s="13"/>
      <x:c r="G311" s="13"/>
      <x:c r="H311" s="13"/>
      <x:c r="I311" s="13"/>
      <x:c r="J311" s="13"/>
      <x:c r="K311" s="13"/>
      <x:c r="L311" s="13"/>
      <x:c r="M311" s="13"/>
      <x:c r="N311" s="13"/>
      <x:c r="O311" s="13"/>
    </x:row>
  </x:sheetData>
  <x:pageMargins left="0.7" right="0.7" top="0.75" bottom="0.75" header="0.3" footer="0.3"/>
  <x:drawing xmlns:r="http://schemas.openxmlformats.org/officeDocument/2006/relationships" r:id="R111c082e205f439d"/>
</x:worksheet>
</file>

<file path=xl/worksheets/sheet6.xml><?xml version="1.0" encoding="utf-8"?>
<x:worksheet xmlns:x="http://schemas.openxmlformats.org/spreadsheetml/2006/main">
  <x:sheetViews>
    <x:sheetView showGridLines="1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7" hidden="0" customWidth="1"/>
    <x:col min="4" max="4" width="54" hidden="0" customWidth="1"/>
  </x:cols>
  <x:sheetData>
    <x:row r="1">
      <x:c r="A1" s="13"/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</x:row>
    <x:row r="2">
      <x:c r="A2" s="14" t="str">
        <x:v>Исходная числовая последовательность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3">
      <x:c r="A3" s="13"/>
      <x:c r="B3" s="13"/>
      <x:c r="C3" s="13"/>
      <x:c r="D3" s="13"/>
      <x:c r="E3" s="13"/>
      <x:c r="F3" s="13"/>
      <x:c r="G3" s="13"/>
      <x:c r="H3" s="13"/>
      <x:c r="I3" s="13"/>
      <x:c r="J3" s="13"/>
      <x:c r="K3" s="13"/>
      <x:c r="L3" s="13"/>
    </x:row>
    <x:row r="4">
      <x:c r="A4" s="7" t="str">
        <x:v>Номер</x:v>
      </x:c>
      <x:c r="B4" s="7" t="str">
        <x:v>Значение</x:v>
      </x:c>
      <x:c r="C4" s="13"/>
      <x:c r="D4" s="15" t="str">
        <x:v>Источник</x:v>
      </x:c>
      <x:c r="E4" s="13"/>
      <x:c r="F4" s="13"/>
      <x:c r="G4" s="13"/>
      <x:c r="H4" s="13"/>
      <x:c r="I4" s="13"/>
      <x:c r="J4" s="13"/>
      <x:c r="K4" s="13"/>
      <x:c r="L4" s="13"/>
    </x:row>
    <x:row r="5">
      <x:c r="A5" s="10" t="n">
        <x:v>1</x:v>
      </x:c>
      <x:c r="B5" s="11" t="n">
        <x:v>5.6181720504233565</x:v>
      </x:c>
      <x:c r="C5" s="13"/>
      <x:c r="D5" s="13" t="str">
        <x:v>ITMO LMS, файл «Варианты к УИР 1», вариант 16</x:v>
      </x:c>
      <x:c r="E5" s="13"/>
      <x:c r="F5" s="13"/>
      <x:c r="G5" s="13"/>
      <x:c r="H5" s="13"/>
      <x:c r="I5" s="13"/>
      <x:c r="J5" s="13"/>
      <x:c r="K5" s="13"/>
      <x:c r="L5" s="13"/>
    </x:row>
    <x:row r="6">
      <x:c r="A6" s="10" t="n">
        <x:v>2</x:v>
      </x:c>
      <x:c r="B6" s="11" t="n">
        <x:v>1.961323380241683</x:v>
      </x:c>
      <x:c r="C6" s="13"/>
      <x:c r="D6" s="13"/>
      <x:c r="E6" s="13"/>
      <x:c r="F6" s="13"/>
      <x:c r="G6" s="13"/>
      <x:c r="H6" s="13"/>
      <x:c r="I6" s="13"/>
      <x:c r="J6" s="13"/>
      <x:c r="K6" s="13"/>
      <x:c r="L6" s="13"/>
    </x:row>
    <x:row r="7">
      <x:c r="A7" s="10" t="n">
        <x:v>3</x:v>
      </x:c>
      <x:c r="B7" s="11" t="n">
        <x:v>0.95896627278794</x:v>
      </x:c>
      <x:c r="C7" s="13"/>
      <x:c r="D7" s="13"/>
      <x:c r="E7" s="13"/>
      <x:c r="F7" s="13"/>
      <x:c r="G7" s="13"/>
      <x:c r="H7" s="13"/>
      <x:c r="I7" s="13"/>
      <x:c r="J7" s="13"/>
      <x:c r="K7" s="13"/>
      <x:c r="L7" s="13"/>
    </x:row>
    <x:row r="8">
      <x:c r="A8" s="10" t="n">
        <x:v>4</x:v>
      </x:c>
      <x:c r="B8" s="11" t="n">
        <x:v>3.34226924692951</x:v>
      </x:c>
      <x:c r="C8" s="13"/>
      <x:c r="D8" s="13"/>
      <x:c r="E8" s="13"/>
      <x:c r="F8" s="13"/>
      <x:c r="G8" s="13"/>
      <x:c r="H8" s="13"/>
      <x:c r="I8" s="13"/>
      <x:c r="J8" s="13"/>
      <x:c r="K8" s="13"/>
      <x:c r="L8" s="13"/>
    </x:row>
    <x:row r="9">
      <x:c r="A9" s="10" t="n">
        <x:v>5</x:v>
      </x:c>
      <x:c r="B9" s="11" t="n">
        <x:v>3.238546199301399</x:v>
      </x:c>
      <x:c r="C9" s="13"/>
      <x:c r="D9" s="13"/>
      <x:c r="E9" s="13"/>
      <x:c r="F9" s="13"/>
      <x:c r="G9" s="13"/>
      <x:c r="H9" s="13"/>
      <x:c r="I9" s="13"/>
      <x:c r="J9" s="13"/>
      <x:c r="K9" s="13"/>
      <x:c r="L9" s="13"/>
    </x:row>
    <x:row r="10">
      <x:c r="A10" s="10" t="n">
        <x:v>6</x:v>
      </x:c>
      <x:c r="B10" s="11" t="n">
        <x:v>0.3299536812496942</x:v>
      </x:c>
      <x:c r="C10" s="13"/>
      <x:c r="D10" s="13"/>
      <x:c r="E10" s="13"/>
      <x:c r="F10" s="13"/>
      <x:c r="G10" s="13"/>
      <x:c r="H10" s="13"/>
      <x:c r="I10" s="13"/>
      <x:c r="J10" s="13"/>
      <x:c r="K10" s="13"/>
      <x:c r="L10" s="13"/>
    </x:row>
    <x:row r="11">
      <x:c r="A11" s="10" t="n">
        <x:v>7</x:v>
      </x:c>
      <x:c r="B11" s="11" t="n">
        <x:v>0.5059386177374764</x:v>
      </x:c>
      <x:c r="C11" s="13"/>
      <x:c r="D11" s="13"/>
      <x:c r="E11" s="13"/>
      <x:c r="F11" s="13"/>
      <x:c r="G11" s="13"/>
      <x:c r="H11" s="13"/>
      <x:c r="I11" s="13"/>
      <x:c r="J11" s="13"/>
      <x:c r="K11" s="13"/>
      <x:c r="L11" s="13"/>
    </x:row>
    <x:row r="12">
      <x:c r="A12" s="10" t="n">
        <x:v>8</x:v>
      </x:c>
      <x:c r="B12" s="11" t="n">
        <x:v>7.174056610396499</x:v>
      </x:c>
      <x:c r="C12" s="13"/>
      <x:c r="D12" s="13"/>
      <x:c r="E12" s="13"/>
      <x:c r="F12" s="13"/>
      <x:c r="G12" s="13"/>
      <x:c r="H12" s="13"/>
      <x:c r="I12" s="13"/>
      <x:c r="J12" s="13"/>
      <x:c r="K12" s="13"/>
      <x:c r="L12" s="13"/>
    </x:row>
    <x:row r="13">
      <x:c r="A13" s="10" t="n">
        <x:v>9</x:v>
      </x:c>
      <x:c r="B13" s="11" t="n">
        <x:v>4.758814469133948</x:v>
      </x:c>
      <x:c r="C13" s="13"/>
      <x:c r="D13" s="13"/>
      <x:c r="E13" s="13"/>
      <x:c r="F13" s="13"/>
      <x:c r="G13" s="13"/>
      <x:c r="H13" s="13"/>
      <x:c r="I13" s="13"/>
      <x:c r="J13" s="13"/>
      <x:c r="K13" s="13"/>
      <x:c r="L13" s="13"/>
    </x:row>
    <x:row r="14">
      <x:c r="A14" s="10" t="n">
        <x:v>10</x:v>
      </x:c>
      <x:c r="B14" s="11" t="n">
        <x:v>12.69518606312383</x:v>
      </x:c>
      <x:c r="C14" s="13"/>
      <x:c r="D14" s="13"/>
      <x:c r="E14" s="13"/>
      <x:c r="F14" s="13"/>
      <x:c r="G14" s="13"/>
      <x:c r="H14" s="13"/>
      <x:c r="I14" s="13"/>
      <x:c r="J14" s="13"/>
      <x:c r="K14" s="13"/>
      <x:c r="L14" s="13"/>
    </x:row>
    <x:row r="15">
      <x:c r="A15" s="10" t="n">
        <x:v>11</x:v>
      </x:c>
      <x:c r="B15" s="11" t="n">
        <x:v>58.106678778913405</x:v>
      </x:c>
      <x:c r="C15" s="13"/>
      <x:c r="D15" s="13"/>
      <x:c r="E15" s="13"/>
      <x:c r="F15" s="13"/>
      <x:c r="G15" s="13"/>
      <x:c r="H15" s="13"/>
      <x:c r="I15" s="13"/>
      <x:c r="J15" s="13"/>
      <x:c r="K15" s="13"/>
      <x:c r="L15" s="13"/>
    </x:row>
    <x:row r="16">
      <x:c r="A16" s="10" t="n">
        <x:v>12</x:v>
      </x:c>
      <x:c r="B16" s="11" t="n">
        <x:v>2.587789518664936</x:v>
      </x:c>
      <x:c r="C16" s="13"/>
      <x:c r="D16" s="13"/>
      <x:c r="E16" s="13"/>
      <x:c r="F16" s="13"/>
      <x:c r="G16" s="13"/>
      <x:c r="H16" s="13"/>
      <x:c r="I16" s="13"/>
      <x:c r="J16" s="13"/>
      <x:c r="K16" s="13"/>
      <x:c r="L16" s="13"/>
    </x:row>
    <x:row r="17">
      <x:c r="A17" s="10" t="n">
        <x:v>13</x:v>
      </x:c>
      <x:c r="B17" s="11" t="n">
        <x:v>33.03094563442113</x:v>
      </x:c>
      <x:c r="C17" s="13"/>
      <x:c r="D17" s="13"/>
      <x:c r="E17" s="13"/>
      <x:c r="F17" s="13"/>
      <x:c r="G17" s="13"/>
      <x:c r="H17" s="13"/>
      <x:c r="I17" s="13"/>
      <x:c r="J17" s="13"/>
      <x:c r="K17" s="13"/>
      <x:c r="L17" s="13"/>
    </x:row>
    <x:row r="18">
      <x:c r="A18" s="10" t="n">
        <x:v>14</x:v>
      </x:c>
      <x:c r="B18" s="11" t="n">
        <x:v>8.894685349227208</x:v>
      </x:c>
      <x:c r="C18" s="13"/>
      <x:c r="D18" s="13"/>
      <x:c r="E18" s="13"/>
      <x:c r="F18" s="13"/>
      <x:c r="G18" s="13"/>
      <x:c r="H18" s="13"/>
      <x:c r="I18" s="13"/>
      <x:c r="J18" s="13"/>
      <x:c r="K18" s="13"/>
      <x:c r="L18" s="13"/>
    </x:row>
    <x:row r="19">
      <x:c r="A19" s="10" t="n">
        <x:v>15</x:v>
      </x:c>
      <x:c r="B19" s="11" t="n">
        <x:v>0.986705704104618</x:v>
      </x:c>
      <x:c r="C19" s="13"/>
      <x:c r="D19" s="13"/>
      <x:c r="E19" s="13"/>
      <x:c r="F19" s="13"/>
      <x:c r="G19" s="13"/>
      <x:c r="H19" s="13"/>
      <x:c r="I19" s="13"/>
      <x:c r="J19" s="13"/>
      <x:c r="K19" s="13"/>
      <x:c r="L19" s="13"/>
    </x:row>
    <x:row r="20">
      <x:c r="A20" s="10" t="n">
        <x:v>16</x:v>
      </x:c>
      <x:c r="B20" s="11" t="n">
        <x:v>1.418220187844115</x:v>
      </x:c>
      <x:c r="C20" s="13"/>
      <x:c r="D20" s="13"/>
      <x:c r="E20" s="13"/>
      <x:c r="F20" s="13"/>
      <x:c r="G20" s="13"/>
      <x:c r="H20" s="13"/>
      <x:c r="I20" s="13"/>
      <x:c r="J20" s="13"/>
      <x:c r="K20" s="13"/>
      <x:c r="L20" s="13"/>
    </x:row>
    <x:row r="21">
      <x:c r="A21" s="10" t="n">
        <x:v>17</x:v>
      </x:c>
      <x:c r="B21" s="11" t="n">
        <x:v>5.60874962966294</x:v>
      </x:c>
      <x:c r="C21" s="13"/>
      <x:c r="D21" s="13"/>
      <x:c r="E21" s="13"/>
      <x:c r="F21" s="13"/>
      <x:c r="G21" s="13"/>
      <x:c r="H21" s="13"/>
      <x:c r="I21" s="13"/>
      <x:c r="J21" s="13"/>
      <x:c r="K21" s="13"/>
      <x:c r="L21" s="13"/>
    </x:row>
    <x:row r="22">
      <x:c r="A22" s="10" t="n">
        <x:v>18</x:v>
      </x:c>
      <x:c r="B22" s="11" t="n">
        <x:v>5.8996716115324315</x:v>
      </x:c>
      <x:c r="C22" s="13"/>
      <x:c r="D22" s="13"/>
      <x:c r="E22" s="13"/>
      <x:c r="F22" s="13"/>
      <x:c r="G22" s="13"/>
      <x:c r="H22" s="13"/>
      <x:c r="I22" s="13"/>
      <x:c r="J22" s="13"/>
      <x:c r="K22" s="13"/>
      <x:c r="L22" s="13"/>
    </x:row>
    <x:row r="23">
      <x:c r="A23" s="10" t="n">
        <x:v>19</x:v>
      </x:c>
      <x:c r="B23" s="11" t="n">
        <x:v>0.32563964103991067</x:v>
      </x:c>
      <x:c r="C23" s="13"/>
      <x:c r="D23" s="13"/>
      <x:c r="E23" s="13"/>
      <x:c r="F23" s="13"/>
      <x:c r="G23" s="13"/>
      <x:c r="H23" s="13"/>
      <x:c r="I23" s="13"/>
      <x:c r="J23" s="13"/>
      <x:c r="K23" s="13"/>
      <x:c r="L23" s="13"/>
    </x:row>
    <x:row r="24">
      <x:c r="A24" s="10" t="n">
        <x:v>20</x:v>
      </x:c>
      <x:c r="B24" s="11" t="n">
        <x:v>0.7370823658605191</x:v>
      </x:c>
      <x:c r="C24" s="13"/>
      <x:c r="D24" s="13"/>
      <x:c r="E24" s="13"/>
      <x:c r="F24" s="13"/>
      <x:c r="G24" s="13"/>
      <x:c r="H24" s="13"/>
      <x:c r="I24" s="13"/>
      <x:c r="J24" s="13"/>
      <x:c r="K24" s="13"/>
      <x:c r="L24" s="13"/>
    </x:row>
    <x:row r="25">
      <x:c r="A25" s="10" t="n">
        <x:v>21</x:v>
      </x:c>
      <x:c r="B25" s="11" t="n">
        <x:v>1.1927784962330366</x:v>
      </x:c>
      <x:c r="C25" s="13"/>
      <x:c r="D25" s="13"/>
      <x:c r="E25" s="13"/>
      <x:c r="F25" s="13"/>
      <x:c r="G25" s="13"/>
      <x:c r="H25" s="13"/>
      <x:c r="I25" s="13"/>
      <x:c r="J25" s="13"/>
      <x:c r="K25" s="13"/>
      <x:c r="L25" s="13"/>
    </x:row>
    <x:row r="26">
      <x:c r="A26" s="10" t="n">
        <x:v>22</x:v>
      </x:c>
      <x:c r="B26" s="11" t="n">
        <x:v>8.224892771624155</x:v>
      </x:c>
      <x:c r="C26" s="13"/>
      <x:c r="D26" s="13"/>
      <x:c r="E26" s="13"/>
      <x:c r="F26" s="13"/>
      <x:c r="G26" s="13"/>
      <x:c r="H26" s="13"/>
      <x:c r="I26" s="13"/>
      <x:c r="J26" s="13"/>
      <x:c r="K26" s="13"/>
      <x:c r="L26" s="13"/>
    </x:row>
    <x:row r="27">
      <x:c r="A27" s="10" t="n">
        <x:v>23</x:v>
      </x:c>
      <x:c r="B27" s="11" t="n">
        <x:v>2.980797395567332</x:v>
      </x:c>
      <x:c r="C27" s="13"/>
      <x:c r="D27" s="13"/>
      <x:c r="E27" s="13"/>
      <x:c r="F27" s="13"/>
      <x:c r="G27" s="13"/>
      <x:c r="H27" s="13"/>
      <x:c r="I27" s="13"/>
      <x:c r="J27" s="13"/>
      <x:c r="K27" s="13"/>
      <x:c r="L27" s="13"/>
    </x:row>
    <x:row r="28">
      <x:c r="A28" s="10" t="n">
        <x:v>24</x:v>
      </x:c>
      <x:c r="B28" s="11" t="n">
        <x:v>3.435655546701355</x:v>
      </x:c>
      <x:c r="C28" s="13"/>
      <x:c r="D28" s="13"/>
      <x:c r="E28" s="13"/>
      <x:c r="F28" s="13"/>
      <x:c r="G28" s="13"/>
      <x:c r="H28" s="13"/>
      <x:c r="I28" s="13"/>
      <x:c r="J28" s="13"/>
      <x:c r="K28" s="13"/>
      <x:c r="L28" s="13"/>
    </x:row>
    <x:row r="29">
      <x:c r="A29" s="10" t="n">
        <x:v>25</x:v>
      </x:c>
      <x:c r="B29" s="11" t="n">
        <x:v>9.09352389710932</x:v>
      </x:c>
      <x:c r="C29" s="13"/>
      <x:c r="D29" s="13"/>
      <x:c r="E29" s="13"/>
      <x:c r="F29" s="13"/>
      <x:c r="G29" s="13"/>
      <x:c r="H29" s="13"/>
      <x:c r="I29" s="13"/>
      <x:c r="J29" s="13"/>
      <x:c r="K29" s="13"/>
      <x:c r="L29" s="13"/>
    </x:row>
    <x:row r="30">
      <x:c r="A30" s="10" t="n">
        <x:v>26</x:v>
      </x:c>
      <x:c r="B30" s="11" t="n">
        <x:v>0.40281570904333086</x:v>
      </x:c>
      <x:c r="C30" s="13"/>
      <x:c r="D30" s="13"/>
      <x:c r="E30" s="13"/>
      <x:c r="F30" s="13"/>
      <x:c r="G30" s="13"/>
      <x:c r="H30" s="13"/>
      <x:c r="I30" s="13"/>
      <x:c r="J30" s="13"/>
      <x:c r="K30" s="13"/>
      <x:c r="L30" s="13"/>
    </x:row>
    <x:row r="31">
      <x:c r="A31" s="10" t="n">
        <x:v>27</x:v>
      </x:c>
      <x:c r="B31" s="11" t="n">
        <x:v>5.6237273220071105</x:v>
      </x:c>
      <x:c r="C31" s="13"/>
      <x:c r="D31" s="13"/>
      <x:c r="E31" s="13"/>
      <x:c r="F31" s="13"/>
      <x:c r="G31" s="13"/>
      <x:c r="H31" s="13"/>
      <x:c r="I31" s="13"/>
      <x:c r="J31" s="13"/>
      <x:c r="K31" s="13"/>
      <x:c r="L31" s="13"/>
    </x:row>
    <x:row r="32">
      <x:c r="A32" s="10" t="n">
        <x:v>28</x:v>
      </x:c>
      <x:c r="B32" s="11" t="n">
        <x:v>1.6082497816725774</x:v>
      </x:c>
      <x:c r="C32" s="13"/>
      <x:c r="D32" s="13"/>
      <x:c r="E32" s="13"/>
      <x:c r="F32" s="13"/>
      <x:c r="G32" s="13"/>
      <x:c r="H32" s="13"/>
      <x:c r="I32" s="13"/>
      <x:c r="J32" s="13"/>
      <x:c r="K32" s="13"/>
      <x:c r="L32" s="13"/>
    </x:row>
    <x:row r="33">
      <x:c r="A33" s="10" t="n">
        <x:v>29</x:v>
      </x:c>
      <x:c r="B33" s="11" t="n">
        <x:v>9.919623664213923</x:v>
      </x:c>
      <x:c r="C33" s="13"/>
      <x:c r="D33" s="13"/>
      <x:c r="E33" s="13"/>
      <x:c r="F33" s="13"/>
      <x:c r="G33" s="13"/>
      <x:c r="H33" s="13"/>
      <x:c r="I33" s="13"/>
      <x:c r="J33" s="13"/>
      <x:c r="K33" s="13"/>
      <x:c r="L33" s="13"/>
    </x:row>
    <x:row r="34">
      <x:c r="A34" s="10" t="n">
        <x:v>30</x:v>
      </x:c>
      <x:c r="B34" s="11" t="n">
        <x:v>0.26659132828440557</x:v>
      </x:c>
      <x:c r="C34" s="13"/>
      <x:c r="D34" s="13"/>
      <x:c r="E34" s="13"/>
      <x:c r="F34" s="13"/>
      <x:c r="G34" s="13"/>
      <x:c r="H34" s="13"/>
      <x:c r="I34" s="13"/>
      <x:c r="J34" s="13"/>
      <x:c r="K34" s="13"/>
      <x:c r="L34" s="13"/>
    </x:row>
    <x:row r="35">
      <x:c r="A35" s="10" t="n">
        <x:v>31</x:v>
      </x:c>
      <x:c r="B35" s="11" t="n">
        <x:v>4.807003862135744</x:v>
      </x:c>
      <x:c r="C35" s="13"/>
      <x:c r="D35" s="13"/>
      <x:c r="E35" s="13"/>
      <x:c r="F35" s="13"/>
      <x:c r="G35" s="13"/>
      <x:c r="H35" s="13"/>
      <x:c r="I35" s="13"/>
      <x:c r="J35" s="13"/>
      <x:c r="K35" s="13"/>
      <x:c r="L35" s="13"/>
    </x:row>
    <x:row r="36">
      <x:c r="A36" s="10" t="n">
        <x:v>32</x:v>
      </x:c>
      <x:c r="B36" s="11" t="n">
        <x:v>0.10920042679177747</x:v>
      </x:c>
      <x:c r="C36" s="13"/>
      <x:c r="D36" s="13"/>
      <x:c r="E36" s="13"/>
      <x:c r="F36" s="13"/>
      <x:c r="G36" s="13"/>
      <x:c r="H36" s="13"/>
      <x:c r="I36" s="13"/>
      <x:c r="J36" s="13"/>
      <x:c r="K36" s="13"/>
      <x:c r="L36" s="13"/>
    </x:row>
    <x:row r="37">
      <x:c r="A37" s="10" t="n">
        <x:v>33</x:v>
      </x:c>
      <x:c r="B37" s="11" t="n">
        <x:v>0.9528039439845308</x:v>
      </x:c>
      <x:c r="C37" s="13"/>
      <x:c r="D37" s="13"/>
      <x:c r="E37" s="13"/>
      <x:c r="F37" s="13"/>
      <x:c r="G37" s="13"/>
      <x:c r="H37" s="13"/>
      <x:c r="I37" s="13"/>
      <x:c r="J37" s="13"/>
      <x:c r="K37" s="13"/>
      <x:c r="L37" s="13"/>
    </x:row>
    <x:row r="38">
      <x:c r="A38" s="10" t="n">
        <x:v>34</x:v>
      </x:c>
      <x:c r="B38" s="11" t="n">
        <x:v>1.4557611187774855</x:v>
      </x:c>
      <x:c r="C38" s="13"/>
      <x:c r="D38" s="13"/>
      <x:c r="E38" s="13"/>
      <x:c r="F38" s="13"/>
      <x:c r="G38" s="13"/>
      <x:c r="H38" s="13"/>
      <x:c r="I38" s="13"/>
      <x:c r="J38" s="13"/>
      <x:c r="K38" s="13"/>
      <x:c r="L38" s="13"/>
    </x:row>
    <x:row r="39">
      <x:c r="A39" s="10" t="n">
        <x:v>35</x:v>
      </x:c>
      <x:c r="B39" s="11" t="n">
        <x:v>4.995672381531492</x:v>
      </x:c>
      <x:c r="C39" s="13"/>
      <x:c r="D39" s="13"/>
      <x:c r="E39" s="13"/>
      <x:c r="F39" s="13"/>
      <x:c r="G39" s="13"/>
      <x:c r="H39" s="13"/>
      <x:c r="I39" s="13"/>
      <x:c r="J39" s="13"/>
      <x:c r="K39" s="13"/>
      <x:c r="L39" s="13"/>
    </x:row>
    <x:row r="40">
      <x:c r="A40" s="10" t="n">
        <x:v>36</x:v>
      </x:c>
      <x:c r="B40" s="11" t="n">
        <x:v>3.7077068553203825</x:v>
      </x:c>
      <x:c r="C40" s="13"/>
      <x:c r="D40" s="13"/>
      <x:c r="E40" s="13"/>
      <x:c r="F40" s="13"/>
      <x:c r="G40" s="13"/>
      <x:c r="H40" s="13"/>
      <x:c r="I40" s="13"/>
      <x:c r="J40" s="13"/>
      <x:c r="K40" s="13"/>
      <x:c r="L40" s="13"/>
    </x:row>
    <x:row r="41">
      <x:c r="A41" s="10" t="n">
        <x:v>37</x:v>
      </x:c>
      <x:c r="B41" s="11" t="n">
        <x:v>5.538660411658349</x:v>
      </x:c>
      <x:c r="C41" s="13"/>
      <x:c r="D41" s="13"/>
      <x:c r="E41" s="13"/>
      <x:c r="F41" s="13"/>
      <x:c r="G41" s="13"/>
      <x:c r="H41" s="13"/>
      <x:c r="I41" s="13"/>
      <x:c r="J41" s="13"/>
      <x:c r="K41" s="13"/>
      <x:c r="L41" s="13"/>
    </x:row>
    <x:row r="42">
      <x:c r="A42" s="10" t="n">
        <x:v>38</x:v>
      </x:c>
      <x:c r="B42" s="11" t="n">
        <x:v>2.0682557300603195</x:v>
      </x:c>
      <x:c r="C42" s="13"/>
      <x:c r="D42" s="13"/>
      <x:c r="E42" s="13"/>
      <x:c r="F42" s="13"/>
      <x:c r="G42" s="13"/>
      <x:c r="H42" s="13"/>
      <x:c r="I42" s="13"/>
      <x:c r="J42" s="13"/>
      <x:c r="K42" s="13"/>
      <x:c r="L42" s="13"/>
    </x:row>
    <x:row r="43">
      <x:c r="A43" s="10" t="n">
        <x:v>39</x:v>
      </x:c>
      <x:c r="B43" s="11" t="n">
        <x:v>28.047542991024986</x:v>
      </x:c>
      <x:c r="C43" s="13"/>
      <x:c r="D43" s="13"/>
      <x:c r="E43" s="13"/>
      <x:c r="F43" s="13"/>
      <x:c r="G43" s="13"/>
      <x:c r="H43" s="13"/>
      <x:c r="I43" s="13"/>
      <x:c r="J43" s="13"/>
      <x:c r="K43" s="13"/>
      <x:c r="L43" s="13"/>
    </x:row>
    <x:row r="44">
      <x:c r="A44" s="10" t="n">
        <x:v>40</x:v>
      </x:c>
      <x:c r="B44" s="11" t="n">
        <x:v>44.79204766684183</x:v>
      </x:c>
      <x:c r="C44" s="13"/>
      <x:c r="D44" s="13"/>
      <x:c r="E44" s="13"/>
      <x:c r="F44" s="13"/>
      <x:c r="G44" s="13"/>
      <x:c r="H44" s="13"/>
      <x:c r="I44" s="13"/>
      <x:c r="J44" s="13"/>
      <x:c r="K44" s="13"/>
      <x:c r="L44" s="13"/>
    </x:row>
    <x:row r="45">
      <x:c r="A45" s="10" t="n">
        <x:v>41</x:v>
      </x:c>
      <x:c r="B45" s="11" t="n">
        <x:v>28.592606980877427</x:v>
      </x:c>
      <x:c r="C45" s="13"/>
      <x:c r="D45" s="13"/>
      <x:c r="E45" s="13"/>
      <x:c r="F45" s="13"/>
      <x:c r="G45" s="13"/>
      <x:c r="H45" s="13"/>
      <x:c r="I45" s="13"/>
      <x:c r="J45" s="13"/>
      <x:c r="K45" s="13"/>
      <x:c r="L45" s="13"/>
    </x:row>
    <x:row r="46">
      <x:c r="A46" s="10" t="n">
        <x:v>42</x:v>
      </x:c>
      <x:c r="B46" s="11" t="n">
        <x:v>3.312180104375023</x:v>
      </x:c>
      <x:c r="C46" s="13"/>
      <x:c r="D46" s="13"/>
      <x:c r="E46" s="13"/>
      <x:c r="F46" s="13"/>
      <x:c r="G46" s="13"/>
      <x:c r="H46" s="13"/>
      <x:c r="I46" s="13"/>
      <x:c r="J46" s="13"/>
      <x:c r="K46" s="13"/>
      <x:c r="L46" s="13"/>
    </x:row>
    <x:row r="47">
      <x:c r="A47" s="10" t="n">
        <x:v>43</x:v>
      </x:c>
      <x:c r="B47" s="11" t="n">
        <x:v>5.093529423825814</x:v>
      </x:c>
      <x:c r="C47" s="13"/>
      <x:c r="D47" s="13"/>
      <x:c r="E47" s="13"/>
      <x:c r="F47" s="13"/>
      <x:c r="G47" s="13"/>
      <x:c r="H47" s="13"/>
      <x:c r="I47" s="13"/>
      <x:c r="J47" s="13"/>
      <x:c r="K47" s="13"/>
      <x:c r="L47" s="13"/>
    </x:row>
    <x:row r="48">
      <x:c r="A48" s="10" t="n">
        <x:v>44</x:v>
      </x:c>
      <x:c r="B48" s="11" t="n">
        <x:v>0.09855882571667884</x:v>
      </x:c>
      <x:c r="C48" s="13"/>
      <x:c r="D48" s="13"/>
      <x:c r="E48" s="13"/>
      <x:c r="F48" s="13"/>
      <x:c r="G48" s="13"/>
      <x:c r="H48" s="13"/>
      <x:c r="I48" s="13"/>
      <x:c r="J48" s="13"/>
      <x:c r="K48" s="13"/>
      <x:c r="L48" s="13"/>
    </x:row>
    <x:row r="49">
      <x:c r="A49" s="10" t="n">
        <x:v>45</x:v>
      </x:c>
      <x:c r="B49" s="11" t="n">
        <x:v>13.25402737523245</x:v>
      </x:c>
      <x:c r="C49" s="13"/>
      <x:c r="D49" s="13"/>
      <x:c r="E49" s="13"/>
      <x:c r="F49" s="13"/>
      <x:c r="G49" s="13"/>
      <x:c r="H49" s="13"/>
      <x:c r="I49" s="13"/>
      <x:c r="J49" s="13"/>
      <x:c r="K49" s="13"/>
      <x:c r="L49" s="13"/>
    </x:row>
    <x:row r="50">
      <x:c r="A50" s="10" t="n">
        <x:v>46</x:v>
      </x:c>
      <x:c r="B50" s="11" t="n">
        <x:v>1.0445496699205856</x:v>
      </x:c>
      <x:c r="C50" s="13"/>
      <x:c r="D50" s="13"/>
      <x:c r="E50" s="13"/>
      <x:c r="F50" s="13"/>
      <x:c r="G50" s="13"/>
      <x:c r="H50" s="13"/>
      <x:c r="I50" s="13"/>
      <x:c r="J50" s="13"/>
      <x:c r="K50" s="13"/>
      <x:c r="L50" s="13"/>
    </x:row>
    <x:row r="51">
      <x:c r="A51" s="10" t="n">
        <x:v>47</x:v>
      </x:c>
      <x:c r="B51" s="11" t="n">
        <x:v>8.320906862203106</x:v>
      </x:c>
      <x:c r="C51" s="13"/>
      <x:c r="D51" s="13"/>
      <x:c r="E51" s="13"/>
      <x:c r="F51" s="13"/>
      <x:c r="G51" s="13"/>
      <x:c r="H51" s="13"/>
      <x:c r="I51" s="13"/>
      <x:c r="J51" s="13"/>
      <x:c r="K51" s="13"/>
      <x:c r="L51" s="13"/>
    </x:row>
    <x:row r="52">
      <x:c r="A52" s="10" t="n">
        <x:v>48</x:v>
      </x:c>
      <x:c r="B52" s="11" t="n">
        <x:v>0.07655887006099407</x:v>
      </x:c>
      <x:c r="C52" s="13"/>
      <x:c r="D52" s="13"/>
      <x:c r="E52" s="13"/>
      <x:c r="F52" s="13"/>
      <x:c r="G52" s="13"/>
      <x:c r="H52" s="13"/>
      <x:c r="I52" s="13"/>
      <x:c r="J52" s="13"/>
      <x:c r="K52" s="13"/>
      <x:c r="L52" s="13"/>
    </x:row>
    <x:row r="53">
      <x:c r="A53" s="10" t="n">
        <x:v>49</x:v>
      </x:c>
      <x:c r="B53" s="11" t="n">
        <x:v>1.0082778192604491</x:v>
      </x:c>
      <x:c r="C53" s="13"/>
      <x:c r="D53" s="13"/>
      <x:c r="E53" s="13"/>
      <x:c r="F53" s="13"/>
      <x:c r="G53" s="13"/>
      <x:c r="H53" s="13"/>
      <x:c r="I53" s="13"/>
      <x:c r="J53" s="13"/>
      <x:c r="K53" s="13"/>
      <x:c r="L53" s="13"/>
    </x:row>
    <x:row r="54">
      <x:c r="A54" s="10" t="n">
        <x:v>50</x:v>
      </x:c>
      <x:c r="B54" s="11" t="n">
        <x:v>1.3197631538977872</x:v>
      </x:c>
      <x:c r="C54" s="13"/>
      <x:c r="D54" s="13"/>
      <x:c r="E54" s="13"/>
      <x:c r="F54" s="13"/>
      <x:c r="G54" s="13"/>
      <x:c r="H54" s="13"/>
      <x:c r="I54" s="13"/>
      <x:c r="J54" s="13"/>
      <x:c r="K54" s="13"/>
      <x:c r="L54" s="13"/>
    </x:row>
    <x:row r="55">
      <x:c r="A55" s="10" t="n">
        <x:v>51</x:v>
      </x:c>
      <x:c r="B55" s="11" t="n">
        <x:v>9.766671289163853</x:v>
      </x:c>
      <x:c r="C55" s="13"/>
      <x:c r="D55" s="13"/>
      <x:c r="E55" s="13"/>
      <x:c r="F55" s="13"/>
      <x:c r="G55" s="13"/>
      <x:c r="H55" s="13"/>
      <x:c r="I55" s="13"/>
      <x:c r="J55" s="13"/>
      <x:c r="K55" s="13"/>
      <x:c r="L55" s="13"/>
    </x:row>
    <x:row r="56">
      <x:c r="A56" s="10" t="n">
        <x:v>52</x:v>
      </x:c>
      <x:c r="B56" s="11" t="n">
        <x:v>2.7457646101958137</x:v>
      </x:c>
      <x:c r="C56" s="13"/>
      <x:c r="D56" s="13"/>
      <x:c r="E56" s="13"/>
      <x:c r="F56" s="13"/>
      <x:c r="G56" s="13"/>
      <x:c r="H56" s="13"/>
      <x:c r="I56" s="13"/>
      <x:c r="J56" s="13"/>
      <x:c r="K56" s="13"/>
      <x:c r="L56" s="13"/>
    </x:row>
    <x:row r="57">
      <x:c r="A57" s="10" t="n">
        <x:v>53</x:v>
      </x:c>
      <x:c r="B57" s="11" t="n">
        <x:v>1.5682870008213992</x:v>
      </x:c>
      <x:c r="C57" s="13"/>
      <x:c r="D57" s="13"/>
      <x:c r="E57" s="13"/>
      <x:c r="F57" s="13"/>
      <x:c r="G57" s="13"/>
      <x:c r="H57" s="13"/>
      <x:c r="I57" s="13"/>
      <x:c r="J57" s="13"/>
      <x:c r="K57" s="13"/>
      <x:c r="L57" s="13"/>
    </x:row>
    <x:row r="58">
      <x:c r="A58" s="10" t="n">
        <x:v>54</x:v>
      </x:c>
      <x:c r="B58" s="11" t="n">
        <x:v>11.890181921654117</x:v>
      </x:c>
      <x:c r="C58" s="13"/>
      <x:c r="D58" s="13"/>
      <x:c r="E58" s="13"/>
      <x:c r="F58" s="13"/>
      <x:c r="G58" s="13"/>
      <x:c r="H58" s="13"/>
      <x:c r="I58" s="13"/>
      <x:c r="J58" s="13"/>
      <x:c r="K58" s="13"/>
      <x:c r="L58" s="13"/>
    </x:row>
    <x:row r="59">
      <x:c r="A59" s="10" t="n">
        <x:v>55</x:v>
      </x:c>
      <x:c r="B59" s="11" t="n">
        <x:v>0.3450420646574386</x:v>
      </x:c>
      <x:c r="C59" s="13"/>
      <x:c r="D59" s="13"/>
      <x:c r="E59" s="13"/>
      <x:c r="F59" s="13"/>
      <x:c r="G59" s="13"/>
      <x:c r="H59" s="13"/>
      <x:c r="I59" s="13"/>
      <x:c r="J59" s="13"/>
      <x:c r="K59" s="13"/>
      <x:c r="L59" s="13"/>
    </x:row>
    <x:row r="60">
      <x:c r="A60" s="10" t="n">
        <x:v>56</x:v>
      </x:c>
      <x:c r="B60" s="11" t="n">
        <x:v>4.6500158179040705</x:v>
      </x:c>
      <x:c r="C60" s="13"/>
      <x:c r="D60" s="13"/>
      <x:c r="E60" s="13"/>
      <x:c r="F60" s="13"/>
      <x:c r="G60" s="13"/>
      <x:c r="H60" s="13"/>
      <x:c r="I60" s="13"/>
      <x:c r="J60" s="13"/>
      <x:c r="K60" s="13"/>
      <x:c r="L60" s="13"/>
    </x:row>
    <x:row r="61">
      <x:c r="A61" s="10" t="n">
        <x:v>57</x:v>
      </x:c>
      <x:c r="B61" s="11" t="n">
        <x:v>7.647247926072703</x:v>
      </x:c>
      <x:c r="C61" s="13"/>
      <x:c r="D61" s="13"/>
      <x:c r="E61" s="13"/>
      <x:c r="F61" s="13"/>
      <x:c r="G61" s="13"/>
      <x:c r="H61" s="13"/>
      <x:c r="I61" s="13"/>
      <x:c r="J61" s="13"/>
      <x:c r="K61" s="13"/>
      <x:c r="L61" s="13"/>
    </x:row>
    <x:row r="62">
      <x:c r="A62" s="10" t="n">
        <x:v>58</x:v>
      </x:c>
      <x:c r="B62" s="11" t="n">
        <x:v>57.038481403281864</x:v>
      </x:c>
      <x:c r="C62" s="13"/>
      <x:c r="D62" s="13"/>
      <x:c r="E62" s="13"/>
      <x:c r="F62" s="13"/>
      <x:c r="G62" s="13"/>
      <x:c r="H62" s="13"/>
      <x:c r="I62" s="13"/>
      <x:c r="J62" s="13"/>
      <x:c r="K62" s="13"/>
      <x:c r="L62" s="13"/>
    </x:row>
    <x:row r="63">
      <x:c r="A63" s="10" t="n">
        <x:v>59</x:v>
      </x:c>
      <x:c r="B63" s="11" t="n">
        <x:v>0.09392039818791975</x:v>
      </x:c>
      <x:c r="C63" s="13"/>
      <x:c r="D63" s="13"/>
      <x:c r="E63" s="13"/>
      <x:c r="F63" s="13"/>
      <x:c r="G63" s="13"/>
      <x:c r="H63" s="13"/>
      <x:c r="I63" s="13"/>
      <x:c r="J63" s="13"/>
      <x:c r="K63" s="13"/>
      <x:c r="L63" s="13"/>
    </x:row>
    <x:row r="64">
      <x:c r="A64" s="10" t="n">
        <x:v>60</x:v>
      </x:c>
      <x:c r="B64" s="11" t="n">
        <x:v>1.827048253063418</x:v>
      </x:c>
      <x:c r="C64" s="13"/>
      <x:c r="D64" s="13"/>
      <x:c r="E64" s="13"/>
      <x:c r="F64" s="13"/>
      <x:c r="G64" s="13"/>
      <x:c r="H64" s="13"/>
      <x:c r="I64" s="13"/>
      <x:c r="J64" s="13"/>
      <x:c r="K64" s="13"/>
      <x:c r="L64" s="13"/>
    </x:row>
    <x:row r="65">
      <x:c r="A65" s="10" t="n">
        <x:v>61</x:v>
      </x:c>
      <x:c r="B65" s="11" t="n">
        <x:v>7.1052093942547945</x:v>
      </x:c>
      <x:c r="C65" s="13"/>
      <x:c r="D65" s="13"/>
      <x:c r="E65" s="13"/>
      <x:c r="F65" s="13"/>
      <x:c r="G65" s="13"/>
      <x:c r="H65" s="13"/>
      <x:c r="I65" s="13"/>
      <x:c r="J65" s="13"/>
      <x:c r="K65" s="13"/>
      <x:c r="L65" s="13"/>
    </x:row>
    <x:row r="66">
      <x:c r="A66" s="10" t="n">
        <x:v>62</x:v>
      </x:c>
      <x:c r="B66" s="11" t="n">
        <x:v>1.8832627261221564</x:v>
      </x:c>
      <x:c r="C66" s="13"/>
      <x:c r="D66" s="13"/>
      <x:c r="E66" s="13"/>
      <x:c r="F66" s="13"/>
      <x:c r="G66" s="13"/>
      <x:c r="H66" s="13"/>
      <x:c r="I66" s="13"/>
      <x:c r="J66" s="13"/>
      <x:c r="K66" s="13"/>
      <x:c r="L66" s="13"/>
    </x:row>
    <x:row r="67">
      <x:c r="A67" s="10" t="n">
        <x:v>63</x:v>
      </x:c>
      <x:c r="B67" s="11" t="n">
        <x:v>5.818433240251913</x:v>
      </x:c>
      <x:c r="C67" s="13"/>
      <x:c r="D67" s="13"/>
      <x:c r="E67" s="13"/>
      <x:c r="F67" s="13"/>
      <x:c r="G67" s="13"/>
      <x:c r="H67" s="13"/>
      <x:c r="I67" s="13"/>
      <x:c r="J67" s="13"/>
      <x:c r="K67" s="13"/>
      <x:c r="L67" s="13"/>
    </x:row>
    <x:row r="68">
      <x:c r="A68" s="10" t="n">
        <x:v>64</x:v>
      </x:c>
      <x:c r="B68" s="11" t="n">
        <x:v>2.450781863636289</x:v>
      </x:c>
      <x:c r="C68" s="13"/>
      <x:c r="D68" s="13"/>
      <x:c r="E68" s="13"/>
      <x:c r="F68" s="13"/>
      <x:c r="G68" s="13"/>
      <x:c r="H68" s="13"/>
      <x:c r="I68" s="13"/>
      <x:c r="J68" s="13"/>
      <x:c r="K68" s="13"/>
      <x:c r="L68" s="13"/>
    </x:row>
    <x:row r="69">
      <x:c r="A69" s="10" t="n">
        <x:v>65</x:v>
      </x:c>
      <x:c r="B69" s="11" t="n">
        <x:v>0.9381147181981675</x:v>
      </x:c>
      <x:c r="C69" s="13"/>
      <x:c r="D69" s="13"/>
      <x:c r="E69" s="13"/>
      <x:c r="F69" s="13"/>
      <x:c r="G69" s="13"/>
      <x:c r="H69" s="13"/>
      <x:c r="I69" s="13"/>
      <x:c r="J69" s="13"/>
      <x:c r="K69" s="13"/>
      <x:c r="L69" s="13"/>
    </x:row>
    <x:row r="70">
      <x:c r="A70" s="10" t="n">
        <x:v>66</x:v>
      </x:c>
      <x:c r="B70" s="11" t="n">
        <x:v>5.821975175325007</x:v>
      </x:c>
      <x:c r="C70" s="13"/>
      <x:c r="D70" s="13"/>
      <x:c r="E70" s="13"/>
      <x:c r="F70" s="13"/>
      <x:c r="G70" s="13"/>
      <x:c r="H70" s="13"/>
      <x:c r="I70" s="13"/>
      <x:c r="J70" s="13"/>
      <x:c r="K70" s="13"/>
      <x:c r="L70" s="13"/>
    </x:row>
    <x:row r="71">
      <x:c r="A71" s="10" t="n">
        <x:v>67</x:v>
      </x:c>
      <x:c r="B71" s="11" t="n">
        <x:v>5.239581731602775</x:v>
      </x:c>
      <x:c r="C71" s="13"/>
      <x:c r="D71" s="13"/>
      <x:c r="E71" s="13"/>
      <x:c r="F71" s="13"/>
      <x:c r="G71" s="13"/>
      <x:c r="H71" s="13"/>
      <x:c r="I71" s="13"/>
      <x:c r="J71" s="13"/>
      <x:c r="K71" s="13"/>
      <x:c r="L71" s="13"/>
    </x:row>
    <x:row r="72">
      <x:c r="A72" s="10" t="n">
        <x:v>68</x:v>
      </x:c>
      <x:c r="B72" s="11" t="n">
        <x:v>1.572326103273861</x:v>
      </x:c>
      <x:c r="C72" s="13"/>
      <x:c r="D72" s="13"/>
      <x:c r="E72" s="13"/>
      <x:c r="F72" s="13"/>
      <x:c r="G72" s="13"/>
      <x:c r="H72" s="13"/>
      <x:c r="I72" s="13"/>
      <x:c r="J72" s="13"/>
      <x:c r="K72" s="13"/>
      <x:c r="L72" s="13"/>
    </x:row>
    <x:row r="73">
      <x:c r="A73" s="10" t="n">
        <x:v>69</x:v>
      </x:c>
      <x:c r="B73" s="11" t="n">
        <x:v>5.4966728266538745</x:v>
      </x:c>
      <x:c r="C73" s="13"/>
      <x:c r="D73" s="13"/>
      <x:c r="E73" s="13"/>
      <x:c r="F73" s="13"/>
      <x:c r="G73" s="13"/>
      <x:c r="H73" s="13"/>
      <x:c r="I73" s="13"/>
      <x:c r="J73" s="13"/>
      <x:c r="K73" s="13"/>
      <x:c r="L73" s="13"/>
    </x:row>
    <x:row r="74">
      <x:c r="A74" s="10" t="n">
        <x:v>70</x:v>
      </x:c>
      <x:c r="B74" s="11" t="n">
        <x:v>2.736068472671958</x:v>
      </x:c>
      <x:c r="C74" s="13"/>
      <x:c r="D74" s="13"/>
      <x:c r="E74" s="13"/>
      <x:c r="F74" s="13"/>
      <x:c r="G74" s="13"/>
      <x:c r="H74" s="13"/>
      <x:c r="I74" s="13"/>
      <x:c r="J74" s="13"/>
      <x:c r="K74" s="13"/>
      <x:c r="L74" s="13"/>
    </x:row>
    <x:row r="75">
      <x:c r="A75" s="10" t="n">
        <x:v>71</x:v>
      </x:c>
      <x:c r="B75" s="11" t="n">
        <x:v>6.883177978778489</x:v>
      </x:c>
      <x:c r="C75" s="13"/>
      <x:c r="D75" s="13"/>
      <x:c r="E75" s="13"/>
      <x:c r="F75" s="13"/>
      <x:c r="G75" s="13"/>
      <x:c r="H75" s="13"/>
      <x:c r="I75" s="13"/>
      <x:c r="J75" s="13"/>
      <x:c r="K75" s="13"/>
      <x:c r="L75" s="13"/>
    </x:row>
    <x:row r="76">
      <x:c r="A76" s="10" t="n">
        <x:v>72</x:v>
      </x:c>
      <x:c r="B76" s="11" t="n">
        <x:v>2.842668574546334</x:v>
      </x:c>
      <x:c r="C76" s="13"/>
      <x:c r="D76" s="13"/>
      <x:c r="E76" s="13"/>
      <x:c r="F76" s="13"/>
      <x:c r="G76" s="13"/>
      <x:c r="H76" s="13"/>
      <x:c r="I76" s="13"/>
      <x:c r="J76" s="13"/>
      <x:c r="K76" s="13"/>
      <x:c r="L76" s="13"/>
    </x:row>
    <x:row r="77">
      <x:c r="A77" s="10" t="n">
        <x:v>73</x:v>
      </x:c>
      <x:c r="B77" s="11" t="n">
        <x:v>0.05714910818167265</x:v>
      </x:c>
      <x:c r="C77" s="13"/>
      <x:c r="D77" s="13"/>
      <x:c r="E77" s="13"/>
      <x:c r="F77" s="13"/>
      <x:c r="G77" s="13"/>
      <x:c r="H77" s="13"/>
      <x:c r="I77" s="13"/>
      <x:c r="J77" s="13"/>
      <x:c r="K77" s="13"/>
      <x:c r="L77" s="13"/>
    </x:row>
    <x:row r="78">
      <x:c r="A78" s="10" t="n">
        <x:v>74</x:v>
      </x:c>
      <x:c r="B78" s="11" t="n">
        <x:v>0.7493866138313776</x:v>
      </x:c>
      <x:c r="C78" s="13"/>
      <x:c r="D78" s="13"/>
      <x:c r="E78" s="13"/>
      <x:c r="F78" s="13"/>
      <x:c r="G78" s="13"/>
      <x:c r="H78" s="13"/>
      <x:c r="I78" s="13"/>
      <x:c r="J78" s="13"/>
      <x:c r="K78" s="13"/>
      <x:c r="L78" s="13"/>
    </x:row>
    <x:row r="79">
      <x:c r="A79" s="10" t="n">
        <x:v>75</x:v>
      </x:c>
      <x:c r="B79" s="11" t="n">
        <x:v>0.916335855452432</x:v>
      </x:c>
      <x:c r="C79" s="13"/>
      <x:c r="D79" s="13"/>
      <x:c r="E79" s="13"/>
      <x:c r="F79" s="13"/>
      <x:c r="G79" s="13"/>
      <x:c r="H79" s="13"/>
      <x:c r="I79" s="13"/>
      <x:c r="J79" s="13"/>
      <x:c r="K79" s="13"/>
      <x:c r="L79" s="13"/>
    </x:row>
    <x:row r="80">
      <x:c r="A80" s="10" t="n">
        <x:v>76</x:v>
      </x:c>
      <x:c r="B80" s="11" t="n">
        <x:v>2.433920022968344</x:v>
      </x:c>
      <x:c r="C80" s="13"/>
      <x:c r="D80" s="13"/>
      <x:c r="E80" s="13"/>
      <x:c r="F80" s="13"/>
      <x:c r="G80" s="13"/>
      <x:c r="H80" s="13"/>
      <x:c r="I80" s="13"/>
      <x:c r="J80" s="13"/>
      <x:c r="K80" s="13"/>
      <x:c r="L80" s="13"/>
    </x:row>
    <x:row r="81">
      <x:c r="A81" s="10" t="n">
        <x:v>77</x:v>
      </x:c>
      <x:c r="B81" s="11" t="n">
        <x:v>17.949315202419818</x:v>
      </x:c>
      <x:c r="C81" s="13"/>
      <x:c r="D81" s="13"/>
      <x:c r="E81" s="13"/>
      <x:c r="F81" s="13"/>
      <x:c r="G81" s="13"/>
      <x:c r="H81" s="13"/>
      <x:c r="I81" s="13"/>
      <x:c r="J81" s="13"/>
      <x:c r="K81" s="13"/>
      <x:c r="L81" s="13"/>
    </x:row>
    <x:row r="82">
      <x:c r="A82" s="10" t="n">
        <x:v>78</x:v>
      </x:c>
      <x:c r="B82" s="11" t="n">
        <x:v>2.121720064177211</x:v>
      </x:c>
      <x:c r="C82" s="13"/>
      <x:c r="D82" s="13"/>
      <x:c r="E82" s="13"/>
      <x:c r="F82" s="13"/>
      <x:c r="G82" s="13"/>
      <x:c r="H82" s="13"/>
      <x:c r="I82" s="13"/>
      <x:c r="J82" s="13"/>
      <x:c r="K82" s="13"/>
      <x:c r="L82" s="13"/>
    </x:row>
    <x:row r="83">
      <x:c r="A83" s="10" t="n">
        <x:v>79</x:v>
      </x:c>
      <x:c r="B83" s="11" t="n">
        <x:v>1.0562695219079725</x:v>
      </x:c>
      <x:c r="C83" s="13"/>
      <x:c r="D83" s="13"/>
      <x:c r="E83" s="13"/>
      <x:c r="F83" s="13"/>
      <x:c r="G83" s="13"/>
      <x:c r="H83" s="13"/>
      <x:c r="I83" s="13"/>
      <x:c r="J83" s="13"/>
      <x:c r="K83" s="13"/>
      <x:c r="L83" s="13"/>
    </x:row>
    <x:row r="84">
      <x:c r="A84" s="10" t="n">
        <x:v>80</x:v>
      </x:c>
      <x:c r="B84" s="11" t="n">
        <x:v>6.644725727853053</x:v>
      </x:c>
      <x:c r="C84" s="13"/>
      <x:c r="D84" s="13"/>
      <x:c r="E84" s="13"/>
      <x:c r="F84" s="13"/>
      <x:c r="G84" s="13"/>
      <x:c r="H84" s="13"/>
      <x:c r="I84" s="13"/>
      <x:c r="J84" s="13"/>
      <x:c r="K84" s="13"/>
      <x:c r="L84" s="13"/>
    </x:row>
    <x:row r="85">
      <x:c r="A85" s="10" t="n">
        <x:v>81</x:v>
      </x:c>
      <x:c r="B85" s="11" t="n">
        <x:v>0.31471403244649554</x:v>
      </x:c>
      <x:c r="C85" s="13"/>
      <x:c r="D85" s="13"/>
      <x:c r="E85" s="13"/>
      <x:c r="F85" s="13"/>
      <x:c r="G85" s="13"/>
      <x:c r="H85" s="13"/>
      <x:c r="I85" s="13"/>
      <x:c r="J85" s="13"/>
      <x:c r="K85" s="13"/>
      <x:c r="L85" s="13"/>
    </x:row>
    <x:row r="86">
      <x:c r="A86" s="10" t="n">
        <x:v>82</x:v>
      </x:c>
      <x:c r="B86" s="11" t="n">
        <x:v>0.008820259485121412</x:v>
      </x:c>
      <x:c r="C86" s="13"/>
      <x:c r="D86" s="13"/>
      <x:c r="E86" s="13"/>
      <x:c r="F86" s="13"/>
      <x:c r="G86" s="13"/>
      <x:c r="H86" s="13"/>
      <x:c r="I86" s="13"/>
      <x:c r="J86" s="13"/>
      <x:c r="K86" s="13"/>
      <x:c r="L86" s="13"/>
    </x:row>
    <x:row r="87">
      <x:c r="A87" s="10" t="n">
        <x:v>83</x:v>
      </x:c>
      <x:c r="B87" s="11" t="n">
        <x:v>1.0130455121179607</x:v>
      </x:c>
      <x:c r="C87" s="13"/>
      <x:c r="D87" s="13"/>
      <x:c r="E87" s="13"/>
      <x:c r="F87" s="13"/>
      <x:c r="G87" s="13"/>
      <x:c r="H87" s="13"/>
      <x:c r="I87" s="13"/>
      <x:c r="J87" s="13"/>
      <x:c r="K87" s="13"/>
      <x:c r="L87" s="13"/>
    </x:row>
    <x:row r="88">
      <x:c r="A88" s="10" t="n">
        <x:v>84</x:v>
      </x:c>
      <x:c r="B88" s="11" t="n">
        <x:v>4.741774131756746</x:v>
      </x:c>
      <x:c r="C88" s="13"/>
      <x:c r="D88" s="13"/>
      <x:c r="E88" s="13"/>
      <x:c r="F88" s="13"/>
      <x:c r="G88" s="13"/>
      <x:c r="H88" s="13"/>
      <x:c r="I88" s="13"/>
      <x:c r="J88" s="13"/>
      <x:c r="K88" s="13"/>
      <x:c r="L88" s="13"/>
    </x:row>
    <x:row r="89">
      <x:c r="A89" s="10" t="n">
        <x:v>85</x:v>
      </x:c>
      <x:c r="B89" s="11" t="n">
        <x:v>0.2438702297197323</x:v>
      </x:c>
      <x:c r="C89" s="13"/>
      <x:c r="D89" s="13"/>
      <x:c r="E89" s="13"/>
      <x:c r="F89" s="13"/>
      <x:c r="G89" s="13"/>
      <x:c r="H89" s="13"/>
      <x:c r="I89" s="13"/>
      <x:c r="J89" s="13"/>
      <x:c r="K89" s="13"/>
      <x:c r="L89" s="13"/>
    </x:row>
    <x:row r="90">
      <x:c r="A90" s="10" t="n">
        <x:v>86</x:v>
      </x:c>
      <x:c r="B90" s="11" t="n">
        <x:v>0.9029948657749054</x:v>
      </x:c>
      <x:c r="C90" s="13"/>
      <x:c r="D90" s="13"/>
      <x:c r="E90" s="13"/>
      <x:c r="F90" s="13"/>
      <x:c r="G90" s="13"/>
      <x:c r="H90" s="13"/>
      <x:c r="I90" s="13"/>
      <x:c r="J90" s="13"/>
      <x:c r="K90" s="13"/>
      <x:c r="L90" s="13"/>
    </x:row>
    <x:row r="91">
      <x:c r="A91" s="10" t="n">
        <x:v>87</x:v>
      </x:c>
      <x:c r="B91" s="11" t="n">
        <x:v>2.020464066598377</x:v>
      </x:c>
      <x:c r="C91" s="13"/>
      <x:c r="D91" s="13"/>
      <x:c r="E91" s="13"/>
      <x:c r="F91" s="13"/>
      <x:c r="G91" s="13"/>
      <x:c r="H91" s="13"/>
      <x:c r="I91" s="13"/>
      <x:c r="J91" s="13"/>
      <x:c r="K91" s="13"/>
      <x:c r="L91" s="13"/>
    </x:row>
    <x:row r="92">
      <x:c r="A92" s="10" t="n">
        <x:v>88</x:v>
      </x:c>
      <x:c r="B92" s="11" t="n">
        <x:v>0.4482865574535291</x:v>
      </x:c>
      <x:c r="C92" s="13"/>
      <x:c r="D92" s="13"/>
      <x:c r="E92" s="13"/>
      <x:c r="F92" s="13"/>
      <x:c r="G92" s="13"/>
      <x:c r="H92" s="13"/>
      <x:c r="I92" s="13"/>
      <x:c r="J92" s="13"/>
      <x:c r="K92" s="13"/>
      <x:c r="L92" s="13"/>
    </x:row>
    <x:row r="93">
      <x:c r="A93" s="10" t="n">
        <x:v>89</x:v>
      </x:c>
      <x:c r="B93" s="11" t="n">
        <x:v>8.84209099150303</x:v>
      </x:c>
      <x:c r="C93" s="13"/>
      <x:c r="D93" s="13"/>
      <x:c r="E93" s="13"/>
      <x:c r="F93" s="13"/>
      <x:c r="G93" s="13"/>
      <x:c r="H93" s="13"/>
      <x:c r="I93" s="13"/>
      <x:c r="J93" s="13"/>
      <x:c r="K93" s="13"/>
      <x:c r="L93" s="13"/>
    </x:row>
    <x:row r="94">
      <x:c r="A94" s="10" t="n">
        <x:v>90</x:v>
      </x:c>
      <x:c r="B94" s="11" t="n">
        <x:v>2.486903721683527</x:v>
      </x:c>
      <x:c r="C94" s="13"/>
      <x:c r="D94" s="13"/>
      <x:c r="E94" s="13"/>
      <x:c r="F94" s="13"/>
      <x:c r="G94" s="13"/>
      <x:c r="H94" s="13"/>
      <x:c r="I94" s="13"/>
      <x:c r="J94" s="13"/>
      <x:c r="K94" s="13"/>
      <x:c r="L94" s="13"/>
    </x:row>
    <x:row r="95">
      <x:c r="A95" s="10" t="n">
        <x:v>91</x:v>
      </x:c>
      <x:c r="B95" s="11" t="n">
        <x:v>3.2038018960139274</x:v>
      </x:c>
      <x:c r="C95" s="13"/>
      <x:c r="D95" s="13"/>
      <x:c r="E95" s="13"/>
      <x:c r="F95" s="13"/>
      <x:c r="G95" s="13"/>
      <x:c r="H95" s="13"/>
      <x:c r="I95" s="13"/>
      <x:c r="J95" s="13"/>
      <x:c r="K95" s="13"/>
      <x:c r="L95" s="13"/>
    </x:row>
    <x:row r="96">
      <x:c r="A96" s="10" t="n">
        <x:v>92</x:v>
      </x:c>
      <x:c r="B96" s="11" t="n">
        <x:v>2.3437207848466772</x:v>
      </x:c>
      <x:c r="C96" s="13"/>
      <x:c r="D96" s="13"/>
      <x:c r="E96" s="13"/>
      <x:c r="F96" s="13"/>
      <x:c r="G96" s="13"/>
      <x:c r="H96" s="13"/>
      <x:c r="I96" s="13"/>
      <x:c r="J96" s="13"/>
      <x:c r="K96" s="13"/>
      <x:c r="L96" s="13"/>
    </x:row>
    <x:row r="97">
      <x:c r="A97" s="10" t="n">
        <x:v>93</x:v>
      </x:c>
      <x:c r="B97" s="11" t="n">
        <x:v>3.3678821861439747</x:v>
      </x:c>
      <x:c r="C97" s="13"/>
      <x:c r="D97" s="13"/>
      <x:c r="E97" s="13"/>
      <x:c r="F97" s="13"/>
      <x:c r="G97" s="13"/>
      <x:c r="H97" s="13"/>
      <x:c r="I97" s="13"/>
      <x:c r="J97" s="13"/>
      <x:c r="K97" s="13"/>
      <x:c r="L97" s="13"/>
    </x:row>
    <x:row r="98">
      <x:c r="A98" s="10" t="n">
        <x:v>94</x:v>
      </x:c>
      <x:c r="B98" s="11" t="n">
        <x:v>5.316640052582896</x:v>
      </x:c>
      <x:c r="C98" s="13"/>
      <x:c r="D98" s="13"/>
      <x:c r="E98" s="13"/>
      <x:c r="F98" s="13"/>
      <x:c r="G98" s="13"/>
      <x:c r="H98" s="13"/>
      <x:c r="I98" s="13"/>
      <x:c r="J98" s="13"/>
      <x:c r="K98" s="13"/>
      <x:c r="L98" s="13"/>
    </x:row>
    <x:row r="99">
      <x:c r="A99" s="10" t="n">
        <x:v>95</x:v>
      </x:c>
      <x:c r="B99" s="11" t="n">
        <x:v>1.4745370400602567</x:v>
      </x:c>
      <x:c r="C99" s="13"/>
      <x:c r="D99" s="13"/>
      <x:c r="E99" s="13"/>
      <x:c r="F99" s="13"/>
      <x:c r="G99" s="13"/>
      <x:c r="H99" s="13"/>
      <x:c r="I99" s="13"/>
      <x:c r="J99" s="13"/>
      <x:c r="K99" s="13"/>
      <x:c r="L99" s="13"/>
    </x:row>
    <x:row r="100">
      <x:c r="A100" s="10" t="n">
        <x:v>96</x:v>
      </x:c>
      <x:c r="B100" s="11" t="n">
        <x:v>185.60540491018384</x:v>
      </x:c>
      <x:c r="C100" s="13"/>
      <x:c r="D100" s="13"/>
      <x:c r="E100" s="13"/>
      <x:c r="F100" s="13"/>
      <x:c r="G100" s="13"/>
      <x:c r="H100" s="13"/>
      <x:c r="I100" s="13"/>
      <x:c r="J100" s="13"/>
      <x:c r="K100" s="13"/>
      <x:c r="L100" s="13"/>
    </x:row>
    <x:row r="101">
      <x:c r="A101" s="10" t="n">
        <x:v>97</x:v>
      </x:c>
      <x:c r="B101" s="11" t="n">
        <x:v>4.220743642866486</x:v>
      </x:c>
      <x:c r="C101" s="13"/>
      <x:c r="D101" s="13"/>
      <x:c r="E101" s="13"/>
      <x:c r="F101" s="13"/>
      <x:c r="G101" s="13"/>
      <x:c r="H101" s="13"/>
      <x:c r="I101" s="13"/>
      <x:c r="J101" s="13"/>
      <x:c r="K101" s="13"/>
      <x:c r="L101" s="13"/>
    </x:row>
    <x:row r="102">
      <x:c r="A102" s="10" t="n">
        <x:v>98</x:v>
      </x:c>
      <x:c r="B102" s="11" t="n">
        <x:v>1.151993835169855</x:v>
      </x:c>
      <x:c r="C102" s="13"/>
      <x:c r="D102" s="13"/>
      <x:c r="E102" s="13"/>
      <x:c r="F102" s="13"/>
      <x:c r="G102" s="13"/>
      <x:c r="H102" s="13"/>
      <x:c r="I102" s="13"/>
      <x:c r="J102" s="13"/>
      <x:c r="K102" s="13"/>
      <x:c r="L102" s="13"/>
    </x:row>
    <x:row r="103">
      <x:c r="A103" s="10" t="n">
        <x:v>99</x:v>
      </x:c>
      <x:c r="B103" s="11" t="n">
        <x:v>6.890532780422916</x:v>
      </x:c>
      <x:c r="C103" s="13"/>
      <x:c r="D103" s="13"/>
      <x:c r="E103" s="13"/>
      <x:c r="F103" s="13"/>
      <x:c r="G103" s="13"/>
      <x:c r="H103" s="13"/>
      <x:c r="I103" s="13"/>
      <x:c r="J103" s="13"/>
      <x:c r="K103" s="13"/>
      <x:c r="L103" s="13"/>
    </x:row>
    <x:row r="104">
      <x:c r="A104" s="10" t="n">
        <x:v>100</x:v>
      </x:c>
      <x:c r="B104" s="11" t="n">
        <x:v>4.681151722502144</x:v>
      </x:c>
      <x:c r="C104" s="13"/>
      <x:c r="D104" s="13"/>
      <x:c r="E104" s="13"/>
      <x:c r="F104" s="13"/>
      <x:c r="G104" s="13"/>
      <x:c r="H104" s="13"/>
      <x:c r="I104" s="13"/>
      <x:c r="J104" s="13"/>
      <x:c r="K104" s="13"/>
      <x:c r="L104" s="13"/>
    </x:row>
    <x:row r="105">
      <x:c r="A105" s="10" t="n">
        <x:v>101</x:v>
      </x:c>
      <x:c r="B105" s="11" t="n">
        <x:v>0.5982042134951743</x:v>
      </x:c>
      <x:c r="C105" s="13"/>
      <x:c r="D105" s="13"/>
      <x:c r="E105" s="13"/>
      <x:c r="F105" s="13"/>
      <x:c r="G105" s="13"/>
      <x:c r="H105" s="13"/>
      <x:c r="I105" s="13"/>
      <x:c r="J105" s="13"/>
      <x:c r="K105" s="13"/>
      <x:c r="L105" s="13"/>
    </x:row>
    <x:row r="106">
      <x:c r="A106" s="10" t="n">
        <x:v>102</x:v>
      </x:c>
      <x:c r="B106" s="11" t="n">
        <x:v>2.16152736779559</x:v>
      </x:c>
      <x:c r="C106" s="13"/>
      <x:c r="D106" s="13"/>
      <x:c r="E106" s="13"/>
      <x:c r="F106" s="13"/>
      <x:c r="G106" s="13"/>
      <x:c r="H106" s="13"/>
      <x:c r="I106" s="13"/>
      <x:c r="J106" s="13"/>
      <x:c r="K106" s="13"/>
      <x:c r="L106" s="13"/>
    </x:row>
    <x:row r="107">
      <x:c r="A107" s="10" t="n">
        <x:v>103</x:v>
      </x:c>
      <x:c r="B107" s="11" t="n">
        <x:v>1.3305580014666585</x:v>
      </x:c>
      <x:c r="C107" s="13"/>
      <x:c r="D107" s="13"/>
      <x:c r="E107" s="13"/>
      <x:c r="F107" s="13"/>
      <x:c r="G107" s="13"/>
      <x:c r="H107" s="13"/>
      <x:c r="I107" s="13"/>
      <x:c r="J107" s="13"/>
      <x:c r="K107" s="13"/>
      <x:c r="L107" s="13"/>
    </x:row>
    <x:row r="108">
      <x:c r="A108" s="10" t="n">
        <x:v>104</x:v>
      </x:c>
      <x:c r="B108" s="11" t="n">
        <x:v>3.58838282240316</x:v>
      </x:c>
      <x:c r="C108" s="13"/>
      <x:c r="D108" s="13"/>
      <x:c r="E108" s="13"/>
      <x:c r="F108" s="13"/>
      <x:c r="G108" s="13"/>
      <x:c r="H108" s="13"/>
      <x:c r="I108" s="13"/>
      <x:c r="J108" s="13"/>
      <x:c r="K108" s="13"/>
      <x:c r="L108" s="13"/>
    </x:row>
    <x:row r="109">
      <x:c r="A109" s="10" t="n">
        <x:v>105</x:v>
      </x:c>
      <x:c r="B109" s="11" t="n">
        <x:v>3.72013047456484</x:v>
      </x:c>
      <x:c r="C109" s="13"/>
      <x:c r="D109" s="13"/>
      <x:c r="E109" s="13"/>
      <x:c r="F109" s="13"/>
      <x:c r="G109" s="13"/>
      <x:c r="H109" s="13"/>
      <x:c r="I109" s="13"/>
      <x:c r="J109" s="13"/>
      <x:c r="K109" s="13"/>
      <x:c r="L109" s="13"/>
    </x:row>
    <x:row r="110">
      <x:c r="A110" s="10" t="n">
        <x:v>106</x:v>
      </x:c>
      <x:c r="B110" s="11" t="n">
        <x:v>91.66518221836404</x:v>
      </x:c>
      <x:c r="C110" s="13"/>
      <x:c r="D110" s="13"/>
      <x:c r="E110" s="13"/>
      <x:c r="F110" s="13"/>
      <x:c r="G110" s="13"/>
      <x:c r="H110" s="13"/>
      <x:c r="I110" s="13"/>
      <x:c r="J110" s="13"/>
      <x:c r="K110" s="13"/>
      <x:c r="L110" s="13"/>
    </x:row>
    <x:row r="111">
      <x:c r="A111" s="10" t="n">
        <x:v>107</x:v>
      </x:c>
      <x:c r="B111" s="11" t="n">
        <x:v>0.8818400989678067</x:v>
      </x:c>
      <x:c r="C111" s="13"/>
      <x:c r="D111" s="13"/>
      <x:c r="E111" s="13"/>
      <x:c r="F111" s="13"/>
      <x:c r="G111" s="13"/>
      <x:c r="H111" s="13"/>
      <x:c r="I111" s="13"/>
      <x:c r="J111" s="13"/>
      <x:c r="K111" s="13"/>
      <x:c r="L111" s="13"/>
    </x:row>
    <x:row r="112">
      <x:c r="A112" s="10" t="n">
        <x:v>108</x:v>
      </x:c>
      <x:c r="B112" s="11" t="n">
        <x:v>0.6990812712071588</x:v>
      </x:c>
      <x:c r="C112" s="13"/>
      <x:c r="D112" s="13"/>
      <x:c r="E112" s="13"/>
      <x:c r="F112" s="13"/>
      <x:c r="G112" s="13"/>
      <x:c r="H112" s="13"/>
      <x:c r="I112" s="13"/>
      <x:c r="J112" s="13"/>
      <x:c r="K112" s="13"/>
      <x:c r="L112" s="13"/>
    </x:row>
    <x:row r="113">
      <x:c r="A113" s="10" t="n">
        <x:v>109</x:v>
      </x:c>
      <x:c r="B113" s="11" t="n">
        <x:v>31.607597906269707</x:v>
      </x:c>
      <x:c r="C113" s="13"/>
      <x:c r="D113" s="13"/>
      <x:c r="E113" s="13"/>
      <x:c r="F113" s="13"/>
      <x:c r="G113" s="13"/>
      <x:c r="H113" s="13"/>
      <x:c r="I113" s="13"/>
      <x:c r="J113" s="13"/>
      <x:c r="K113" s="13"/>
      <x:c r="L113" s="13"/>
    </x:row>
    <x:row r="114">
      <x:c r="A114" s="10" t="n">
        <x:v>110</x:v>
      </x:c>
      <x:c r="B114" s="11" t="n">
        <x:v>1.3236571961165842</x:v>
      </x:c>
      <x:c r="C114" s="13"/>
      <x:c r="D114" s="13"/>
      <x:c r="E114" s="13"/>
      <x:c r="F114" s="13"/>
      <x:c r="G114" s="13"/>
      <x:c r="H114" s="13"/>
      <x:c r="I114" s="13"/>
      <x:c r="J114" s="13"/>
      <x:c r="K114" s="13"/>
      <x:c r="L114" s="13"/>
    </x:row>
    <x:row r="115">
      <x:c r="A115" s="10" t="n">
        <x:v>111</x:v>
      </x:c>
      <x:c r="B115" s="11" t="n">
        <x:v>2.7750262060025443</x:v>
      </x:c>
      <x:c r="C115" s="13"/>
      <x:c r="D115" s="13"/>
      <x:c r="E115" s="13"/>
      <x:c r="F115" s="13"/>
      <x:c r="G115" s="13"/>
      <x:c r="H115" s="13"/>
      <x:c r="I115" s="13"/>
      <x:c r="J115" s="13"/>
      <x:c r="K115" s="13"/>
      <x:c r="L115" s="13"/>
    </x:row>
    <x:row r="116">
      <x:c r="A116" s="10" t="n">
        <x:v>112</x:v>
      </x:c>
      <x:c r="B116" s="11" t="n">
        <x:v>0.4890475439806944</x:v>
      </x:c>
      <x:c r="C116" s="13"/>
      <x:c r="D116" s="13"/>
      <x:c r="E116" s="13"/>
      <x:c r="F116" s="13"/>
      <x:c r="G116" s="13"/>
      <x:c r="H116" s="13"/>
      <x:c r="I116" s="13"/>
      <x:c r="J116" s="13"/>
      <x:c r="K116" s="13"/>
      <x:c r="L116" s="13"/>
    </x:row>
    <x:row r="117">
      <x:c r="A117" s="10" t="n">
        <x:v>113</x:v>
      </x:c>
      <x:c r="B117" s="11" t="n">
        <x:v>0.24516434668345996</x:v>
      </x:c>
      <x:c r="C117" s="13"/>
      <x:c r="D117" s="13"/>
      <x:c r="E117" s="13"/>
      <x:c r="F117" s="13"/>
      <x:c r="G117" s="13"/>
      <x:c r="H117" s="13"/>
      <x:c r="I117" s="13"/>
      <x:c r="J117" s="13"/>
      <x:c r="K117" s="13"/>
      <x:c r="L117" s="13"/>
    </x:row>
    <x:row r="118">
      <x:c r="A118" s="10" t="n">
        <x:v>114</x:v>
      </x:c>
      <x:c r="B118" s="11" t="n">
        <x:v>1.654336395152445</x:v>
      </x:c>
      <x:c r="C118" s="13"/>
      <x:c r="D118" s="13"/>
      <x:c r="E118" s="13"/>
      <x:c r="F118" s="13"/>
      <x:c r="G118" s="13"/>
      <x:c r="H118" s="13"/>
      <x:c r="I118" s="13"/>
      <x:c r="J118" s="13"/>
      <x:c r="K118" s="13"/>
      <x:c r="L118" s="13"/>
    </x:row>
    <x:row r="119">
      <x:c r="A119" s="10" t="n">
        <x:v>115</x:v>
      </x:c>
      <x:c r="B119" s="11" t="n">
        <x:v>1.9555038827412035</x:v>
      </x:c>
      <x:c r="C119" s="13"/>
      <x:c r="D119" s="13"/>
      <x:c r="E119" s="13"/>
      <x:c r="F119" s="13"/>
      <x:c r="G119" s="13"/>
      <x:c r="H119" s="13"/>
      <x:c r="I119" s="13"/>
      <x:c r="J119" s="13"/>
      <x:c r="K119" s="13"/>
      <x:c r="L119" s="13"/>
    </x:row>
    <x:row r="120">
      <x:c r="A120" s="10" t="n">
        <x:v>116</x:v>
      </x:c>
      <x:c r="B120" s="11" t="n">
        <x:v>2.390895634928623</x:v>
      </x:c>
      <x:c r="C120" s="13"/>
      <x:c r="D120" s="13"/>
      <x:c r="E120" s="13"/>
      <x:c r="F120" s="13"/>
      <x:c r="G120" s="13"/>
      <x:c r="H120" s="13"/>
      <x:c r="I120" s="13"/>
      <x:c r="J120" s="13"/>
      <x:c r="K120" s="13"/>
      <x:c r="L120" s="13"/>
    </x:row>
    <x:row r="121">
      <x:c r="A121" s="10" t="n">
        <x:v>117</x:v>
      </x:c>
      <x:c r="B121" s="11" t="n">
        <x:v>0.8154581287760496</x:v>
      </x:c>
      <x:c r="C121" s="13"/>
      <x:c r="D121" s="13"/>
      <x:c r="E121" s="13"/>
      <x:c r="F121" s="13"/>
      <x:c r="G121" s="13"/>
      <x:c r="H121" s="13"/>
      <x:c r="I121" s="13"/>
      <x:c r="J121" s="13"/>
      <x:c r="K121" s="13"/>
      <x:c r="L121" s="13"/>
    </x:row>
    <x:row r="122">
      <x:c r="A122" s="10" t="n">
        <x:v>118</x:v>
      </x:c>
      <x:c r="B122" s="11" t="n">
        <x:v>0.4106341431602848</x:v>
      </x:c>
      <x:c r="C122" s="13"/>
      <x:c r="D122" s="13"/>
      <x:c r="E122" s="13"/>
      <x:c r="F122" s="13"/>
      <x:c r="G122" s="13"/>
      <x:c r="H122" s="13"/>
      <x:c r="I122" s="13"/>
      <x:c r="J122" s="13"/>
      <x:c r="K122" s="13"/>
      <x:c r="L122" s="13"/>
    </x:row>
    <x:row r="123">
      <x:c r="A123" s="10" t="n">
        <x:v>119</x:v>
      </x:c>
      <x:c r="B123" s="11" t="n">
        <x:v>4.202668916427851</x:v>
      </x:c>
      <x:c r="C123" s="13"/>
      <x:c r="D123" s="13"/>
      <x:c r="E123" s="13"/>
      <x:c r="F123" s="13"/>
      <x:c r="G123" s="13"/>
      <x:c r="H123" s="13"/>
      <x:c r="I123" s="13"/>
      <x:c r="J123" s="13"/>
      <x:c r="K123" s="13"/>
      <x:c r="L123" s="13"/>
    </x:row>
    <x:row r="124">
      <x:c r="A124" s="10" t="n">
        <x:v>120</x:v>
      </x:c>
      <x:c r="B124" s="11" t="n">
        <x:v>2.8250937652705255</x:v>
      </x:c>
      <x:c r="C124" s="13"/>
      <x:c r="D124" s="13"/>
      <x:c r="E124" s="13"/>
      <x:c r="F124" s="13"/>
      <x:c r="G124" s="13"/>
      <x:c r="H124" s="13"/>
      <x:c r="I124" s="13"/>
      <x:c r="J124" s="13"/>
      <x:c r="K124" s="13"/>
      <x:c r="L124" s="13"/>
    </x:row>
    <x:row r="125">
      <x:c r="A125" s="10" t="n">
        <x:v>121</x:v>
      </x:c>
      <x:c r="B125" s="11" t="n">
        <x:v>5.664005479957851</x:v>
      </x:c>
      <x:c r="C125" s="13"/>
      <x:c r="D125" s="13"/>
      <x:c r="E125" s="13"/>
      <x:c r="F125" s="13"/>
      <x:c r="G125" s="13"/>
      <x:c r="H125" s="13"/>
      <x:c r="I125" s="13"/>
      <x:c r="J125" s="13"/>
      <x:c r="K125" s="13"/>
      <x:c r="L125" s="13"/>
    </x:row>
    <x:row r="126">
      <x:c r="A126" s="10" t="n">
        <x:v>122</x:v>
      </x:c>
      <x:c r="B126" s="11" t="n">
        <x:v>4.029932390020127</x:v>
      </x:c>
      <x:c r="C126" s="13"/>
      <x:c r="D126" s="13"/>
      <x:c r="E126" s="13"/>
      <x:c r="F126" s="13"/>
      <x:c r="G126" s="13"/>
      <x:c r="H126" s="13"/>
      <x:c r="I126" s="13"/>
      <x:c r="J126" s="13"/>
      <x:c r="K126" s="13"/>
      <x:c r="L126" s="13"/>
    </x:row>
    <x:row r="127">
      <x:c r="A127" s="10" t="n">
        <x:v>123</x:v>
      </x:c>
      <x:c r="B127" s="11" t="n">
        <x:v>11.392654195856448</x:v>
      </x:c>
      <x:c r="C127" s="13"/>
      <x:c r="D127" s="13"/>
      <x:c r="E127" s="13"/>
      <x:c r="F127" s="13"/>
      <x:c r="G127" s="13"/>
      <x:c r="H127" s="13"/>
      <x:c r="I127" s="13"/>
      <x:c r="J127" s="13"/>
      <x:c r="K127" s="13"/>
      <x:c r="L127" s="13"/>
    </x:row>
    <x:row r="128">
      <x:c r="A128" s="10" t="n">
        <x:v>124</x:v>
      </x:c>
      <x:c r="B128" s="11" t="n">
        <x:v>5.488126029481447</x:v>
      </x:c>
      <x:c r="C128" s="13"/>
      <x:c r="D128" s="13"/>
      <x:c r="E128" s="13"/>
      <x:c r="F128" s="13"/>
      <x:c r="G128" s="13"/>
      <x:c r="H128" s="13"/>
      <x:c r="I128" s="13"/>
      <x:c r="J128" s="13"/>
      <x:c r="K128" s="13"/>
      <x:c r="L128" s="13"/>
    </x:row>
    <x:row r="129">
      <x:c r="A129" s="10" t="n">
        <x:v>125</x:v>
      </x:c>
      <x:c r="B129" s="11" t="n">
        <x:v>16.996878997148105</x:v>
      </x:c>
      <x:c r="C129" s="13"/>
      <x:c r="D129" s="13"/>
      <x:c r="E129" s="13"/>
      <x:c r="F129" s="13"/>
      <x:c r="G129" s="13"/>
      <x:c r="H129" s="13"/>
      <x:c r="I129" s="13"/>
      <x:c r="J129" s="13"/>
      <x:c r="K129" s="13"/>
      <x:c r="L129" s="13"/>
    </x:row>
    <x:row r="130">
      <x:c r="A130" s="10" t="n">
        <x:v>126</x:v>
      </x:c>
      <x:c r="B130" s="11" t="n">
        <x:v>0.5488466513943153</x:v>
      </x:c>
      <x:c r="C130" s="13"/>
      <x:c r="D130" s="13"/>
      <x:c r="E130" s="13"/>
      <x:c r="F130" s="13"/>
      <x:c r="G130" s="13"/>
      <x:c r="H130" s="13"/>
      <x:c r="I130" s="13"/>
      <x:c r="J130" s="13"/>
      <x:c r="K130" s="13"/>
      <x:c r="L130" s="13"/>
    </x:row>
    <x:row r="131">
      <x:c r="A131" s="10" t="n">
        <x:v>127</x:v>
      </x:c>
      <x:c r="B131" s="11" t="n">
        <x:v>2.4824200141377646</x:v>
      </x:c>
      <x:c r="C131" s="13"/>
      <x:c r="D131" s="13"/>
      <x:c r="E131" s="13"/>
      <x:c r="F131" s="13"/>
      <x:c r="G131" s="13"/>
      <x:c r="H131" s="13"/>
      <x:c r="I131" s="13"/>
      <x:c r="J131" s="13"/>
      <x:c r="K131" s="13"/>
      <x:c r="L131" s="13"/>
    </x:row>
    <x:row r="132">
      <x:c r="A132" s="10" t="n">
        <x:v>128</x:v>
      </x:c>
      <x:c r="B132" s="11" t="n">
        <x:v>1.7493521314955665</x:v>
      </x:c>
      <x:c r="C132" s="13"/>
      <x:c r="D132" s="13"/>
      <x:c r="E132" s="13"/>
      <x:c r="F132" s="13"/>
      <x:c r="G132" s="13"/>
      <x:c r="H132" s="13"/>
      <x:c r="I132" s="13"/>
      <x:c r="J132" s="13"/>
      <x:c r="K132" s="13"/>
      <x:c r="L132" s="13"/>
    </x:row>
    <x:row r="133">
      <x:c r="A133" s="10" t="n">
        <x:v>129</x:v>
      </x:c>
      <x:c r="B133" s="11" t="n">
        <x:v>2.1805431870673235</x:v>
      </x:c>
      <x:c r="C133" s="13"/>
      <x:c r="D133" s="13"/>
      <x:c r="E133" s="13"/>
      <x:c r="F133" s="13"/>
      <x:c r="G133" s="13"/>
      <x:c r="H133" s="13"/>
      <x:c r="I133" s="13"/>
      <x:c r="J133" s="13"/>
      <x:c r="K133" s="13"/>
      <x:c r="L133" s="13"/>
    </x:row>
    <x:row r="134">
      <x:c r="A134" s="10" t="n">
        <x:v>130</x:v>
      </x:c>
      <x:c r="B134" s="11" t="n">
        <x:v>1.3362696384556496</x:v>
      </x:c>
      <x:c r="C134" s="13"/>
      <x:c r="D134" s="13"/>
      <x:c r="E134" s="13"/>
      <x:c r="F134" s="13"/>
      <x:c r="G134" s="13"/>
      <x:c r="H134" s="13"/>
      <x:c r="I134" s="13"/>
      <x:c r="J134" s="13"/>
      <x:c r="K134" s="13"/>
      <x:c r="L134" s="13"/>
    </x:row>
    <x:row r="135">
      <x:c r="A135" s="10" t="n">
        <x:v>131</x:v>
      </x:c>
      <x:c r="B135" s="11" t="n">
        <x:v>1.7575525688766416</x:v>
      </x:c>
      <x:c r="C135" s="13"/>
      <x:c r="D135" s="13"/>
      <x:c r="E135" s="13"/>
      <x:c r="F135" s="13"/>
      <x:c r="G135" s="13"/>
      <x:c r="H135" s="13"/>
      <x:c r="I135" s="13"/>
      <x:c r="J135" s="13"/>
      <x:c r="K135" s="13"/>
      <x:c r="L135" s="13"/>
    </x:row>
    <x:row r="136">
      <x:c r="A136" s="10" t="n">
        <x:v>132</x:v>
      </x:c>
      <x:c r="B136" s="11" t="n">
        <x:v>1.2574916307542885</x:v>
      </x:c>
      <x:c r="C136" s="13"/>
      <x:c r="D136" s="13"/>
      <x:c r="E136" s="13"/>
      <x:c r="F136" s="13"/>
      <x:c r="G136" s="13"/>
      <x:c r="H136" s="13"/>
      <x:c r="I136" s="13"/>
      <x:c r="J136" s="13"/>
      <x:c r="K136" s="13"/>
      <x:c r="L136" s="13"/>
    </x:row>
    <x:row r="137">
      <x:c r="A137" s="10" t="n">
        <x:v>133</x:v>
      </x:c>
      <x:c r="B137" s="11" t="n">
        <x:v>2.9827850217528113</x:v>
      </x:c>
      <x:c r="C137" s="13"/>
      <x:c r="D137" s="13"/>
      <x:c r="E137" s="13"/>
      <x:c r="F137" s="13"/>
      <x:c r="G137" s="13"/>
      <x:c r="H137" s="13"/>
      <x:c r="I137" s="13"/>
      <x:c r="J137" s="13"/>
      <x:c r="K137" s="13"/>
      <x:c r="L137" s="13"/>
    </x:row>
    <x:row r="138">
      <x:c r="A138" s="10" t="n">
        <x:v>134</x:v>
      </x:c>
      <x:c r="B138" s="11" t="n">
        <x:v>4.327780328085535</x:v>
      </x:c>
      <x:c r="C138" s="13"/>
      <x:c r="D138" s="13"/>
      <x:c r="E138" s="13"/>
      <x:c r="F138" s="13"/>
      <x:c r="G138" s="13"/>
      <x:c r="H138" s="13"/>
      <x:c r="I138" s="13"/>
      <x:c r="J138" s="13"/>
      <x:c r="K138" s="13"/>
      <x:c r="L138" s="13"/>
    </x:row>
    <x:row r="139">
      <x:c r="A139" s="10" t="n">
        <x:v>135</x:v>
      </x:c>
      <x:c r="B139" s="11" t="n">
        <x:v>4.565583482429978</x:v>
      </x:c>
      <x:c r="C139" s="13"/>
      <x:c r="D139" s="13"/>
      <x:c r="E139" s="13"/>
      <x:c r="F139" s="13"/>
      <x:c r="G139" s="13"/>
      <x:c r="H139" s="13"/>
      <x:c r="I139" s="13"/>
      <x:c r="J139" s="13"/>
      <x:c r="K139" s="13"/>
      <x:c r="L139" s="13"/>
    </x:row>
    <x:row r="140">
      <x:c r="A140" s="10" t="n">
        <x:v>136</x:v>
      </x:c>
      <x:c r="B140" s="11" t="n">
        <x:v>3.346431646353099</x:v>
      </x:c>
      <x:c r="C140" s="13"/>
      <x:c r="D140" s="13"/>
      <x:c r="E140" s="13"/>
      <x:c r="F140" s="13"/>
      <x:c r="G140" s="13"/>
      <x:c r="H140" s="13"/>
      <x:c r="I140" s="13"/>
      <x:c r="J140" s="13"/>
      <x:c r="K140" s="13"/>
      <x:c r="L140" s="13"/>
    </x:row>
    <x:row r="141">
      <x:c r="A141" s="10" t="n">
        <x:v>137</x:v>
      </x:c>
      <x:c r="B141" s="11" t="n">
        <x:v>13.459634708400785</x:v>
      </x:c>
      <x:c r="C141" s="13"/>
      <x:c r="D141" s="13"/>
      <x:c r="E141" s="13"/>
      <x:c r="F141" s="13"/>
      <x:c r="G141" s="13"/>
      <x:c r="H141" s="13"/>
      <x:c r="I141" s="13"/>
      <x:c r="J141" s="13"/>
      <x:c r="K141" s="13"/>
      <x:c r="L141" s="13"/>
    </x:row>
    <x:row r="142">
      <x:c r="A142" s="10" t="n">
        <x:v>138</x:v>
      </x:c>
      <x:c r="B142" s="11" t="n">
        <x:v>5.160428074417381</x:v>
      </x:c>
      <x:c r="C142" s="13"/>
      <x:c r="D142" s="13"/>
      <x:c r="E142" s="13"/>
      <x:c r="F142" s="13"/>
      <x:c r="G142" s="13"/>
      <x:c r="H142" s="13"/>
      <x:c r="I142" s="13"/>
      <x:c r="J142" s="13"/>
      <x:c r="K142" s="13"/>
      <x:c r="L142" s="13"/>
    </x:row>
    <x:row r="143">
      <x:c r="A143" s="10" t="n">
        <x:v>139</x:v>
      </x:c>
      <x:c r="B143" s="11" t="n">
        <x:v>69.15622636127019</x:v>
      </x:c>
      <x:c r="C143" s="13"/>
      <x:c r="D143" s="13"/>
      <x:c r="E143" s="13"/>
      <x:c r="F143" s="13"/>
      <x:c r="G143" s="13"/>
      <x:c r="H143" s="13"/>
      <x:c r="I143" s="13"/>
      <x:c r="J143" s="13"/>
      <x:c r="K143" s="13"/>
      <x:c r="L143" s="13"/>
    </x:row>
    <x:row r="144">
      <x:c r="A144" s="10" t="n">
        <x:v>140</x:v>
      </x:c>
      <x:c r="B144" s="11" t="n">
        <x:v>2.5529428297198375</x:v>
      </x:c>
      <x:c r="C144" s="13"/>
      <x:c r="D144" s="13"/>
      <x:c r="E144" s="13"/>
      <x:c r="F144" s="13"/>
      <x:c r="G144" s="13"/>
      <x:c r="H144" s="13"/>
      <x:c r="I144" s="13"/>
      <x:c r="J144" s="13"/>
      <x:c r="K144" s="13"/>
      <x:c r="L144" s="13"/>
    </x:row>
    <x:row r="145">
      <x:c r="A145" s="10" t="n">
        <x:v>141</x:v>
      </x:c>
      <x:c r="B145" s="11" t="n">
        <x:v>1.2683778275777804</x:v>
      </x:c>
      <x:c r="C145" s="13"/>
      <x:c r="D145" s="13"/>
      <x:c r="E145" s="13"/>
      <x:c r="F145" s="13"/>
      <x:c r="G145" s="13"/>
      <x:c r="H145" s="13"/>
      <x:c r="I145" s="13"/>
      <x:c r="J145" s="13"/>
      <x:c r="K145" s="13"/>
      <x:c r="L145" s="13"/>
    </x:row>
    <x:row r="146">
      <x:c r="A146" s="10" t="n">
        <x:v>142</x:v>
      </x:c>
      <x:c r="B146" s="11" t="n">
        <x:v>3.0099871285962476</x:v>
      </x:c>
      <x:c r="C146" s="13"/>
      <x:c r="D146" s="13"/>
      <x:c r="E146" s="13"/>
      <x:c r="F146" s="13"/>
      <x:c r="G146" s="13"/>
      <x:c r="H146" s="13"/>
      <x:c r="I146" s="13"/>
      <x:c r="J146" s="13"/>
      <x:c r="K146" s="13"/>
      <x:c r="L146" s="13"/>
    </x:row>
    <x:row r="147">
      <x:c r="A147" s="10" t="n">
        <x:v>143</x:v>
      </x:c>
      <x:c r="B147" s="11" t="n">
        <x:v>0.10661433897945216</x:v>
      </x:c>
      <x:c r="C147" s="13"/>
      <x:c r="D147" s="13"/>
      <x:c r="E147" s="13"/>
      <x:c r="F147" s="13"/>
      <x:c r="G147" s="13"/>
      <x:c r="H147" s="13"/>
      <x:c r="I147" s="13"/>
      <x:c r="J147" s="13"/>
      <x:c r="K147" s="13"/>
      <x:c r="L147" s="13"/>
    </x:row>
    <x:row r="148">
      <x:c r="A148" s="10" t="n">
        <x:v>144</x:v>
      </x:c>
      <x:c r="B148" s="11" t="n">
        <x:v>0.12226543652540495</x:v>
      </x:c>
      <x:c r="C148" s="13"/>
      <x:c r="D148" s="13"/>
      <x:c r="E148" s="13"/>
      <x:c r="F148" s="13"/>
      <x:c r="G148" s="13"/>
      <x:c r="H148" s="13"/>
      <x:c r="I148" s="13"/>
      <x:c r="J148" s="13"/>
      <x:c r="K148" s="13"/>
      <x:c r="L148" s="13"/>
    </x:row>
    <x:row r="149">
      <x:c r="A149" s="10" t="n">
        <x:v>145</x:v>
      </x:c>
      <x:c r="B149" s="11" t="n">
        <x:v>11.743987951720406</x:v>
      </x:c>
      <x:c r="C149" s="13"/>
      <x:c r="D149" s="13"/>
      <x:c r="E149" s="13"/>
      <x:c r="F149" s="13"/>
      <x:c r="G149" s="13"/>
      <x:c r="H149" s="13"/>
      <x:c r="I149" s="13"/>
      <x:c r="J149" s="13"/>
      <x:c r="K149" s="13"/>
      <x:c r="L149" s="13"/>
    </x:row>
    <x:row r="150">
      <x:c r="A150" s="10" t="n">
        <x:v>146</x:v>
      </x:c>
      <x:c r="B150" s="11" t="n">
        <x:v>4.308916467818682</x:v>
      </x:c>
      <x:c r="C150" s="13"/>
      <x:c r="D150" s="13"/>
      <x:c r="E150" s="13"/>
      <x:c r="F150" s="13"/>
      <x:c r="G150" s="13"/>
      <x:c r="H150" s="13"/>
      <x:c r="I150" s="13"/>
      <x:c r="J150" s="13"/>
      <x:c r="K150" s="13"/>
      <x:c r="L150" s="13"/>
    </x:row>
    <x:row r="151">
      <x:c r="A151" s="10" t="n">
        <x:v>147</x:v>
      </x:c>
      <x:c r="B151" s="11" t="n">
        <x:v>1.088612114362792</x:v>
      </x:c>
      <x:c r="C151" s="13"/>
      <x:c r="D151" s="13"/>
      <x:c r="E151" s="13"/>
      <x:c r="F151" s="13"/>
      <x:c r="G151" s="13"/>
      <x:c r="H151" s="13"/>
      <x:c r="I151" s="13"/>
      <x:c r="J151" s="13"/>
      <x:c r="K151" s="13"/>
      <x:c r="L151" s="13"/>
    </x:row>
    <x:row r="152">
      <x:c r="A152" s="10" t="n">
        <x:v>148</x:v>
      </x:c>
      <x:c r="B152" s="11" t="n">
        <x:v>0.22838052382855595</x:v>
      </x:c>
      <x:c r="C152" s="13"/>
      <x:c r="D152" s="13"/>
      <x:c r="E152" s="13"/>
      <x:c r="F152" s="13"/>
      <x:c r="G152" s="13"/>
      <x:c r="H152" s="13"/>
      <x:c r="I152" s="13"/>
      <x:c r="J152" s="13"/>
      <x:c r="K152" s="13"/>
      <x:c r="L152" s="13"/>
    </x:row>
    <x:row r="153">
      <x:c r="A153" s="10" t="n">
        <x:v>149</x:v>
      </x:c>
      <x:c r="B153" s="11" t="n">
        <x:v>4.242930555872892</x:v>
      </x:c>
      <x:c r="C153" s="13"/>
      <x:c r="D153" s="13"/>
      <x:c r="E153" s="13"/>
      <x:c r="F153" s="13"/>
      <x:c r="G153" s="13"/>
      <x:c r="H153" s="13"/>
      <x:c r="I153" s="13"/>
      <x:c r="J153" s="13"/>
      <x:c r="K153" s="13"/>
      <x:c r="L153" s="13"/>
    </x:row>
    <x:row r="154">
      <x:c r="A154" s="10" t="n">
        <x:v>150</x:v>
      </x:c>
      <x:c r="B154" s="11" t="n">
        <x:v>0.8396769478977242</x:v>
      </x:c>
      <x:c r="C154" s="13"/>
      <x:c r="D154" s="13"/>
      <x:c r="E154" s="13"/>
      <x:c r="F154" s="13"/>
      <x:c r="G154" s="13"/>
      <x:c r="H154" s="13"/>
      <x:c r="I154" s="13"/>
      <x:c r="J154" s="13"/>
      <x:c r="K154" s="13"/>
      <x:c r="L154" s="13"/>
    </x:row>
    <x:row r="155">
      <x:c r="A155" s="10" t="n">
        <x:v>151</x:v>
      </x:c>
      <x:c r="B155" s="11" t="n">
        <x:v>0.9717295863077607</x:v>
      </x:c>
      <x:c r="C155" s="13"/>
      <x:c r="D155" s="13"/>
      <x:c r="E155" s="13"/>
      <x:c r="F155" s="13"/>
      <x:c r="G155" s="13"/>
      <x:c r="H155" s="13"/>
      <x:c r="I155" s="13"/>
      <x:c r="J155" s="13"/>
      <x:c r="K155" s="13"/>
      <x:c r="L155" s="13"/>
    </x:row>
    <x:row r="156">
      <x:c r="A156" s="10" t="n">
        <x:v>152</x:v>
      </x:c>
      <x:c r="B156" s="11" t="n">
        <x:v>0.7285717701516119</x:v>
      </x:c>
      <x:c r="C156" s="13"/>
      <x:c r="D156" s="13"/>
      <x:c r="E156" s="13"/>
      <x:c r="F156" s="13"/>
      <x:c r="G156" s="13"/>
      <x:c r="H156" s="13"/>
      <x:c r="I156" s="13"/>
      <x:c r="J156" s="13"/>
      <x:c r="K156" s="13"/>
      <x:c r="L156" s="13"/>
    </x:row>
    <x:row r="157">
      <x:c r="A157" s="10" t="n">
        <x:v>153</x:v>
      </x:c>
      <x:c r="B157" s="11" t="n">
        <x:v>7.101717425270229</x:v>
      </x:c>
      <x:c r="C157" s="13"/>
      <x:c r="D157" s="13"/>
      <x:c r="E157" s="13"/>
      <x:c r="F157" s="13"/>
      <x:c r="G157" s="13"/>
      <x:c r="H157" s="13"/>
      <x:c r="I157" s="13"/>
      <x:c r="J157" s="13"/>
      <x:c r="K157" s="13"/>
      <x:c r="L157" s="13"/>
    </x:row>
    <x:row r="158">
      <x:c r="A158" s="10" t="n">
        <x:v>154</x:v>
      </x:c>
      <x:c r="B158" s="11" t="n">
        <x:v>8.767555638442726</x:v>
      </x:c>
      <x:c r="C158" s="13"/>
      <x:c r="D158" s="13"/>
      <x:c r="E158" s="13"/>
      <x:c r="F158" s="13"/>
      <x:c r="G158" s="13"/>
      <x:c r="H158" s="13"/>
      <x:c r="I158" s="13"/>
      <x:c r="J158" s="13"/>
      <x:c r="K158" s="13"/>
      <x:c r="L158" s="13"/>
    </x:row>
    <x:row r="159">
      <x:c r="A159" s="10" t="n">
        <x:v>155</x:v>
      </x:c>
      <x:c r="B159" s="11" t="n">
        <x:v>0.13799157812195204</x:v>
      </x:c>
      <x:c r="C159" s="13"/>
      <x:c r="D159" s="13"/>
      <x:c r="E159" s="13"/>
      <x:c r="F159" s="13"/>
      <x:c r="G159" s="13"/>
      <x:c r="H159" s="13"/>
      <x:c r="I159" s="13"/>
      <x:c r="J159" s="13"/>
      <x:c r="K159" s="13"/>
      <x:c r="L159" s="13"/>
    </x:row>
    <x:row r="160">
      <x:c r="A160" s="10" t="n">
        <x:v>156</x:v>
      </x:c>
      <x:c r="B160" s="11" t="n">
        <x:v>5.134941387613727</x:v>
      </x:c>
      <x:c r="C160" s="13"/>
      <x:c r="D160" s="13"/>
      <x:c r="E160" s="13"/>
      <x:c r="F160" s="13"/>
      <x:c r="G160" s="13"/>
      <x:c r="H160" s="13"/>
      <x:c r="I160" s="13"/>
      <x:c r="J160" s="13"/>
      <x:c r="K160" s="13"/>
      <x:c r="L160" s="13"/>
    </x:row>
    <x:row r="161">
      <x:c r="A161" s="10" t="n">
        <x:v>157</x:v>
      </x:c>
      <x:c r="B161" s="11" t="n">
        <x:v>1.3206613687627564</x:v>
      </x:c>
      <x:c r="C161" s="13"/>
      <x:c r="D161" s="13"/>
      <x:c r="E161" s="13"/>
      <x:c r="F161" s="13"/>
      <x:c r="G161" s="13"/>
      <x:c r="H161" s="13"/>
      <x:c r="I161" s="13"/>
      <x:c r="J161" s="13"/>
      <x:c r="K161" s="13"/>
      <x:c r="L161" s="13"/>
    </x:row>
    <x:row r="162">
      <x:c r="A162" s="10" t="n">
        <x:v>158</x:v>
      </x:c>
      <x:c r="B162" s="11" t="n">
        <x:v>4.486413348226658</x:v>
      </x:c>
      <x:c r="C162" s="13"/>
      <x:c r="D162" s="13"/>
      <x:c r="E162" s="13"/>
      <x:c r="F162" s="13"/>
      <x:c r="G162" s="13"/>
      <x:c r="H162" s="13"/>
      <x:c r="I162" s="13"/>
      <x:c r="J162" s="13"/>
      <x:c r="K162" s="13"/>
      <x:c r="L162" s="13"/>
    </x:row>
    <x:row r="163">
      <x:c r="A163" s="10" t="n">
        <x:v>159</x:v>
      </x:c>
      <x:c r="B163" s="11" t="n">
        <x:v>3.7775764734337276</x:v>
      </x:c>
      <x:c r="C163" s="13"/>
      <x:c r="D163" s="13"/>
      <x:c r="E163" s="13"/>
      <x:c r="F163" s="13"/>
      <x:c r="G163" s="13"/>
      <x:c r="H163" s="13"/>
      <x:c r="I163" s="13"/>
      <x:c r="J163" s="13"/>
      <x:c r="K163" s="13"/>
      <x:c r="L163" s="13"/>
    </x:row>
    <x:row r="164">
      <x:c r="A164" s="10" t="n">
        <x:v>160</x:v>
      </x:c>
      <x:c r="B164" s="11" t="n">
        <x:v>11.582023645157918</x:v>
      </x:c>
      <x:c r="C164" s="13"/>
      <x:c r="D164" s="13"/>
      <x:c r="E164" s="13"/>
      <x:c r="F164" s="13"/>
      <x:c r="G164" s="13"/>
      <x:c r="H164" s="13"/>
      <x:c r="I164" s="13"/>
      <x:c r="J164" s="13"/>
      <x:c r="K164" s="13"/>
      <x:c r="L164" s="13"/>
    </x:row>
    <x:row r="165">
      <x:c r="A165" s="10" t="n">
        <x:v>161</x:v>
      </x:c>
      <x:c r="B165" s="11" t="n">
        <x:v>1.534074093710431</x:v>
      </x:c>
      <x:c r="C165" s="13"/>
      <x:c r="D165" s="13"/>
      <x:c r="E165" s="13"/>
      <x:c r="F165" s="13"/>
      <x:c r="G165" s="13"/>
      <x:c r="H165" s="13"/>
      <x:c r="I165" s="13"/>
      <x:c r="J165" s="13"/>
      <x:c r="K165" s="13"/>
      <x:c r="L165" s="13"/>
    </x:row>
    <x:row r="166">
      <x:c r="A166" s="10" t="n">
        <x:v>162</x:v>
      </x:c>
      <x:c r="B166" s="11" t="n">
        <x:v>0.582505762501133</x:v>
      </x:c>
      <x:c r="C166" s="13"/>
      <x:c r="D166" s="13"/>
      <x:c r="E166" s="13"/>
      <x:c r="F166" s="13"/>
      <x:c r="G166" s="13"/>
      <x:c r="H166" s="13"/>
      <x:c r="I166" s="13"/>
      <x:c r="J166" s="13"/>
      <x:c r="K166" s="13"/>
      <x:c r="L166" s="13"/>
    </x:row>
    <x:row r="167">
      <x:c r="A167" s="10" t="n">
        <x:v>163</x:v>
      </x:c>
      <x:c r="B167" s="11" t="n">
        <x:v>9.184455744645682</x:v>
      </x:c>
      <x:c r="C167" s="13"/>
      <x:c r="D167" s="13"/>
      <x:c r="E167" s="13"/>
      <x:c r="F167" s="13"/>
      <x:c r="G167" s="13"/>
      <x:c r="H167" s="13"/>
      <x:c r="I167" s="13"/>
      <x:c r="J167" s="13"/>
      <x:c r="K167" s="13"/>
      <x:c r="L167" s="13"/>
    </x:row>
    <x:row r="168">
      <x:c r="A168" s="10" t="n">
        <x:v>164</x:v>
      </x:c>
      <x:c r="B168" s="11" t="n">
        <x:v>1.016591718665131</x:v>
      </x:c>
      <x:c r="C168" s="13"/>
      <x:c r="D168" s="13"/>
      <x:c r="E168" s="13"/>
      <x:c r="F168" s="13"/>
      <x:c r="G168" s="13"/>
      <x:c r="H168" s="13"/>
      <x:c r="I168" s="13"/>
      <x:c r="J168" s="13"/>
      <x:c r="K168" s="13"/>
      <x:c r="L168" s="13"/>
    </x:row>
    <x:row r="169">
      <x:c r="A169" s="10" t="n">
        <x:v>165</x:v>
      </x:c>
      <x:c r="B169" s="11" t="n">
        <x:v>2.6132258419453014</x:v>
      </x:c>
      <x:c r="C169" s="13"/>
      <x:c r="D169" s="13"/>
      <x:c r="E169" s="13"/>
      <x:c r="F169" s="13"/>
      <x:c r="G169" s="13"/>
      <x:c r="H169" s="13"/>
      <x:c r="I169" s="13"/>
      <x:c r="J169" s="13"/>
      <x:c r="K169" s="13"/>
      <x:c r="L169" s="13"/>
    </x:row>
    <x:row r="170">
      <x:c r="A170" s="10" t="n">
        <x:v>166</x:v>
      </x:c>
      <x:c r="B170" s="11" t="n">
        <x:v>3.978355246363974</x:v>
      </x:c>
      <x:c r="C170" s="13"/>
      <x:c r="D170" s="13"/>
      <x:c r="E170" s="13"/>
      <x:c r="F170" s="13"/>
      <x:c r="G170" s="13"/>
      <x:c r="H170" s="13"/>
      <x:c r="I170" s="13"/>
      <x:c r="J170" s="13"/>
      <x:c r="K170" s="13"/>
      <x:c r="L170" s="13"/>
    </x:row>
    <x:row r="171">
      <x:c r="A171" s="10" t="n">
        <x:v>167</x:v>
      </x:c>
      <x:c r="B171" s="11" t="n">
        <x:v>10.301828629993395</x:v>
      </x:c>
      <x:c r="C171" s="13"/>
      <x:c r="D171" s="13"/>
      <x:c r="E171" s="13"/>
      <x:c r="F171" s="13"/>
      <x:c r="G171" s="13"/>
      <x:c r="H171" s="13"/>
      <x:c r="I171" s="13"/>
      <x:c r="J171" s="13"/>
      <x:c r="K171" s="13"/>
      <x:c r="L171" s="13"/>
    </x:row>
    <x:row r="172">
      <x:c r="A172" s="10" t="n">
        <x:v>168</x:v>
      </x:c>
      <x:c r="B172" s="11" t="n">
        <x:v>0.8849849636679817</x:v>
      </x:c>
      <x:c r="C172" s="13"/>
      <x:c r="D172" s="13"/>
      <x:c r="E172" s="13"/>
      <x:c r="F172" s="13"/>
      <x:c r="G172" s="13"/>
      <x:c r="H172" s="13"/>
      <x:c r="I172" s="13"/>
      <x:c r="J172" s="13"/>
      <x:c r="K172" s="13"/>
      <x:c r="L172" s="13"/>
    </x:row>
    <x:row r="173">
      <x:c r="A173" s="10" t="n">
        <x:v>169</x:v>
      </x:c>
      <x:c r="B173" s="11" t="n">
        <x:v>0.38734717344042074</x:v>
      </x:c>
      <x:c r="C173" s="13"/>
      <x:c r="D173" s="13"/>
      <x:c r="E173" s="13"/>
      <x:c r="F173" s="13"/>
      <x:c r="G173" s="13"/>
      <x:c r="H173" s="13"/>
      <x:c r="I173" s="13"/>
      <x:c r="J173" s="13"/>
      <x:c r="K173" s="13"/>
      <x:c r="L173" s="13"/>
    </x:row>
    <x:row r="174">
      <x:c r="A174" s="10" t="n">
        <x:v>170</x:v>
      </x:c>
      <x:c r="B174" s="11" t="n">
        <x:v>1.2847751729819021</x:v>
      </x:c>
      <x:c r="C174" s="13"/>
      <x:c r="D174" s="13"/>
      <x:c r="E174" s="13"/>
      <x:c r="F174" s="13"/>
      <x:c r="G174" s="13"/>
      <x:c r="H174" s="13"/>
      <x:c r="I174" s="13"/>
      <x:c r="J174" s="13"/>
      <x:c r="K174" s="13"/>
      <x:c r="L174" s="13"/>
    </x:row>
    <x:row r="175">
      <x:c r="A175" s="10" t="n">
        <x:v>171</x:v>
      </x:c>
      <x:c r="B175" s="11" t="n">
        <x:v>1.6156130225686625</x:v>
      </x:c>
      <x:c r="C175" s="13"/>
      <x:c r="D175" s="13"/>
      <x:c r="E175" s="13"/>
      <x:c r="F175" s="13"/>
      <x:c r="G175" s="13"/>
      <x:c r="H175" s="13"/>
      <x:c r="I175" s="13"/>
      <x:c r="J175" s="13"/>
      <x:c r="K175" s="13"/>
      <x:c r="L175" s="13"/>
    </x:row>
    <x:row r="176">
      <x:c r="A176" s="10" t="n">
        <x:v>172</x:v>
      </x:c>
      <x:c r="B176" s="11" t="n">
        <x:v>9.200962229203544</x:v>
      </x:c>
      <x:c r="C176" s="13"/>
      <x:c r="D176" s="13"/>
      <x:c r="E176" s="13"/>
      <x:c r="F176" s="13"/>
      <x:c r="G176" s="13"/>
      <x:c r="H176" s="13"/>
      <x:c r="I176" s="13"/>
      <x:c r="J176" s="13"/>
      <x:c r="K176" s="13"/>
      <x:c r="L176" s="13"/>
    </x:row>
    <x:row r="177">
      <x:c r="A177" s="10" t="n">
        <x:v>173</x:v>
      </x:c>
      <x:c r="B177" s="11" t="n">
        <x:v>15.339330780907554</x:v>
      </x:c>
      <x:c r="C177" s="13"/>
      <x:c r="D177" s="13"/>
      <x:c r="E177" s="13"/>
      <x:c r="F177" s="13"/>
      <x:c r="G177" s="13"/>
      <x:c r="H177" s="13"/>
      <x:c r="I177" s="13"/>
      <x:c r="J177" s="13"/>
      <x:c r="K177" s="13"/>
      <x:c r="L177" s="13"/>
    </x:row>
    <x:row r="178">
      <x:c r="A178" s="10" t="n">
        <x:v>174</x:v>
      </x:c>
      <x:c r="B178" s="11" t="n">
        <x:v>1.7578946991183262</x:v>
      </x:c>
      <x:c r="C178" s="13"/>
      <x:c r="D178" s="13"/>
      <x:c r="E178" s="13"/>
      <x:c r="F178" s="13"/>
      <x:c r="G178" s="13"/>
      <x:c r="H178" s="13"/>
      <x:c r="I178" s="13"/>
      <x:c r="J178" s="13"/>
      <x:c r="K178" s="13"/>
      <x:c r="L178" s="13"/>
    </x:row>
    <x:row r="179">
      <x:c r="A179" s="10" t="n">
        <x:v>175</x:v>
      </x:c>
      <x:c r="B179" s="11" t="n">
        <x:v>6.240334419087975</x:v>
      </x:c>
      <x:c r="C179" s="13"/>
      <x:c r="D179" s="13"/>
      <x:c r="E179" s="13"/>
      <x:c r="F179" s="13"/>
      <x:c r="G179" s="13"/>
      <x:c r="H179" s="13"/>
      <x:c r="I179" s="13"/>
      <x:c r="J179" s="13"/>
      <x:c r="K179" s="13"/>
      <x:c r="L179" s="13"/>
    </x:row>
    <x:row r="180">
      <x:c r="A180" s="10" t="n">
        <x:v>176</x:v>
      </x:c>
      <x:c r="B180" s="11" t="n">
        <x:v>13.741351991383045</x:v>
      </x:c>
      <x:c r="C180" s="13"/>
      <x:c r="D180" s="13"/>
      <x:c r="E180" s="13"/>
      <x:c r="F180" s="13"/>
      <x:c r="G180" s="13"/>
      <x:c r="H180" s="13"/>
      <x:c r="I180" s="13"/>
      <x:c r="J180" s="13"/>
      <x:c r="K180" s="13"/>
      <x:c r="L180" s="13"/>
    </x:row>
    <x:row r="181">
      <x:c r="A181" s="10" t="n">
        <x:v>177</x:v>
      </x:c>
      <x:c r="B181" s="11" t="n">
        <x:v>0.7316980992024844</x:v>
      </x:c>
      <x:c r="C181" s="13"/>
      <x:c r="D181" s="13"/>
      <x:c r="E181" s="13"/>
      <x:c r="F181" s="13"/>
      <x:c r="G181" s="13"/>
      <x:c r="H181" s="13"/>
      <x:c r="I181" s="13"/>
      <x:c r="J181" s="13"/>
      <x:c r="K181" s="13"/>
      <x:c r="L181" s="13"/>
    </x:row>
    <x:row r="182">
      <x:c r="A182" s="10" t="n">
        <x:v>178</x:v>
      </x:c>
      <x:c r="B182" s="11" t="n">
        <x:v>1.9687947335248106</x:v>
      </x:c>
      <x:c r="C182" s="13"/>
      <x:c r="D182" s="13"/>
      <x:c r="E182" s="13"/>
      <x:c r="F182" s="13"/>
      <x:c r="G182" s="13"/>
      <x:c r="H182" s="13"/>
      <x:c r="I182" s="13"/>
      <x:c r="J182" s="13"/>
      <x:c r="K182" s="13"/>
      <x:c r="L182" s="13"/>
    </x:row>
    <x:row r="183">
      <x:c r="A183" s="10" t="n">
        <x:v>179</x:v>
      </x:c>
      <x:c r="B183" s="11" t="n">
        <x:v>0.9986274511086903</x:v>
      </x:c>
      <x:c r="C183" s="13"/>
      <x:c r="D183" s="13"/>
      <x:c r="E183" s="13"/>
      <x:c r="F183" s="13"/>
      <x:c r="G183" s="13"/>
      <x:c r="H183" s="13"/>
      <x:c r="I183" s="13"/>
      <x:c r="J183" s="13"/>
      <x:c r="K183" s="13"/>
      <x:c r="L183" s="13"/>
    </x:row>
    <x:row r="184">
      <x:c r="A184" s="10" t="n">
        <x:v>180</x:v>
      </x:c>
      <x:c r="B184" s="11" t="n">
        <x:v>0.955481794850903</x:v>
      </x:c>
      <x:c r="C184" s="13"/>
      <x:c r="D184" s="13"/>
      <x:c r="E184" s="13"/>
      <x:c r="F184" s="13"/>
      <x:c r="G184" s="13"/>
      <x:c r="H184" s="13"/>
      <x:c r="I184" s="13"/>
      <x:c r="J184" s="13"/>
      <x:c r="K184" s="13"/>
      <x:c r="L184" s="13"/>
    </x:row>
    <x:row r="185">
      <x:c r="A185" s="10" t="n">
        <x:v>181</x:v>
      </x:c>
      <x:c r="B185" s="11" t="n">
        <x:v>37.326238794771584</x:v>
      </x:c>
      <x:c r="C185" s="13"/>
      <x:c r="D185" s="13"/>
      <x:c r="E185" s="13"/>
      <x:c r="F185" s="13"/>
      <x:c r="G185" s="13"/>
      <x:c r="H185" s="13"/>
      <x:c r="I185" s="13"/>
      <x:c r="J185" s="13"/>
      <x:c r="K185" s="13"/>
      <x:c r="L185" s="13"/>
    </x:row>
    <x:row r="186">
      <x:c r="A186" s="10" t="n">
        <x:v>182</x:v>
      </x:c>
      <x:c r="B186" s="11" t="n">
        <x:v>8.34631234599939</x:v>
      </x:c>
      <x:c r="C186" s="13"/>
      <x:c r="D186" s="13"/>
      <x:c r="E186" s="13"/>
      <x:c r="F186" s="13"/>
      <x:c r="G186" s="13"/>
      <x:c r="H186" s="13"/>
      <x:c r="I186" s="13"/>
      <x:c r="J186" s="13"/>
      <x:c r="K186" s="13"/>
      <x:c r="L186" s="13"/>
    </x:row>
    <x:row r="187">
      <x:c r="A187" s="10" t="n">
        <x:v>183</x:v>
      </x:c>
      <x:c r="B187" s="11" t="n">
        <x:v>2.154955718888099</x:v>
      </x:c>
      <x:c r="C187" s="13"/>
      <x:c r="D187" s="13"/>
      <x:c r="E187" s="13"/>
      <x:c r="F187" s="13"/>
      <x:c r="G187" s="13"/>
      <x:c r="H187" s="13"/>
      <x:c r="I187" s="13"/>
      <x:c r="J187" s="13"/>
      <x:c r="K187" s="13"/>
      <x:c r="L187" s="13"/>
    </x:row>
    <x:row r="188">
      <x:c r="A188" s="10" t="n">
        <x:v>184</x:v>
      </x:c>
      <x:c r="B188" s="11" t="n">
        <x:v>7.075645494985943</x:v>
      </x:c>
      <x:c r="C188" s="13"/>
      <x:c r="D188" s="13"/>
      <x:c r="E188" s="13"/>
      <x:c r="F188" s="13"/>
      <x:c r="G188" s="13"/>
      <x:c r="H188" s="13"/>
      <x:c r="I188" s="13"/>
      <x:c r="J188" s="13"/>
      <x:c r="K188" s="13"/>
      <x:c r="L188" s="13"/>
    </x:row>
    <x:row r="189">
      <x:c r="A189" s="10" t="n">
        <x:v>185</x:v>
      </x:c>
      <x:c r="B189" s="11" t="n">
        <x:v>6.379456038538617</x:v>
      </x:c>
      <x:c r="C189" s="13"/>
      <x:c r="D189" s="13"/>
      <x:c r="E189" s="13"/>
      <x:c r="F189" s="13"/>
      <x:c r="G189" s="13"/>
      <x:c r="H189" s="13"/>
      <x:c r="I189" s="13"/>
      <x:c r="J189" s="13"/>
      <x:c r="K189" s="13"/>
      <x:c r="L189" s="13"/>
    </x:row>
    <x:row r="190">
      <x:c r="A190" s="10" t="n">
        <x:v>186</x:v>
      </x:c>
      <x:c r="B190" s="11" t="n">
        <x:v>3.0531218550249646</x:v>
      </x:c>
      <x:c r="C190" s="13"/>
      <x:c r="D190" s="13"/>
      <x:c r="E190" s="13"/>
      <x:c r="F190" s="13"/>
      <x:c r="G190" s="13"/>
      <x:c r="H190" s="13"/>
      <x:c r="I190" s="13"/>
      <x:c r="J190" s="13"/>
      <x:c r="K190" s="13"/>
      <x:c r="L190" s="13"/>
    </x:row>
    <x:row r="191">
      <x:c r="A191" s="10" t="n">
        <x:v>187</x:v>
      </x:c>
      <x:c r="B191" s="11" t="n">
        <x:v>0.8609510446205931</x:v>
      </x:c>
      <x:c r="C191" s="13"/>
      <x:c r="D191" s="13"/>
      <x:c r="E191" s="13"/>
      <x:c r="F191" s="13"/>
      <x:c r="G191" s="13"/>
      <x:c r="H191" s="13"/>
      <x:c r="I191" s="13"/>
      <x:c r="J191" s="13"/>
      <x:c r="K191" s="13"/>
      <x:c r="L191" s="13"/>
    </x:row>
    <x:row r="192">
      <x:c r="A192" s="10" t="n">
        <x:v>188</x:v>
      </x:c>
      <x:c r="B192" s="11" t="n">
        <x:v>3.2296915744244292</x:v>
      </x:c>
      <x:c r="C192" s="13"/>
      <x:c r="D192" s="13"/>
      <x:c r="E192" s="13"/>
      <x:c r="F192" s="13"/>
      <x:c r="G192" s="13"/>
      <x:c r="H192" s="13"/>
      <x:c r="I192" s="13"/>
      <x:c r="J192" s="13"/>
      <x:c r="K192" s="13"/>
      <x:c r="L192" s="13"/>
    </x:row>
    <x:row r="193">
      <x:c r="A193" s="10" t="n">
        <x:v>189</x:v>
      </x:c>
      <x:c r="B193" s="11" t="n">
        <x:v>2.0912788079228233</x:v>
      </x:c>
      <x:c r="C193" s="13"/>
      <x:c r="D193" s="13"/>
      <x:c r="E193" s="13"/>
      <x:c r="F193" s="13"/>
      <x:c r="G193" s="13"/>
      <x:c r="H193" s="13"/>
      <x:c r="I193" s="13"/>
      <x:c r="J193" s="13"/>
      <x:c r="K193" s="13"/>
      <x:c r="L193" s="13"/>
    </x:row>
    <x:row r="194">
      <x:c r="A194" s="10" t="n">
        <x:v>190</x:v>
      </x:c>
      <x:c r="B194" s="11" t="n">
        <x:v>5.4262954233292895</x:v>
      </x:c>
      <x:c r="C194" s="13"/>
      <x:c r="D194" s="13"/>
      <x:c r="E194" s="13"/>
      <x:c r="F194" s="13"/>
      <x:c r="G194" s="13"/>
      <x:c r="H194" s="13"/>
      <x:c r="I194" s="13"/>
      <x:c r="J194" s="13"/>
      <x:c r="K194" s="13"/>
      <x:c r="L194" s="13"/>
    </x:row>
    <x:row r="195">
      <x:c r="A195" s="10" t="n">
        <x:v>191</x:v>
      </x:c>
      <x:c r="B195" s="11" t="n">
        <x:v>4.933821256875392</x:v>
      </x:c>
      <x:c r="C195" s="13"/>
      <x:c r="D195" s="13"/>
      <x:c r="E195" s="13"/>
      <x:c r="F195" s="13"/>
      <x:c r="G195" s="13"/>
      <x:c r="H195" s="13"/>
      <x:c r="I195" s="13"/>
      <x:c r="J195" s="13"/>
      <x:c r="K195" s="13"/>
      <x:c r="L195" s="13"/>
    </x:row>
    <x:row r="196">
      <x:c r="A196" s="10" t="n">
        <x:v>192</x:v>
      </x:c>
      <x:c r="B196" s="11" t="n">
        <x:v>3.2891790207151894</x:v>
      </x:c>
      <x:c r="C196" s="13"/>
      <x:c r="D196" s="13"/>
      <x:c r="E196" s="13"/>
      <x:c r="F196" s="13"/>
      <x:c r="G196" s="13"/>
      <x:c r="H196" s="13"/>
      <x:c r="I196" s="13"/>
      <x:c r="J196" s="13"/>
      <x:c r="K196" s="13"/>
      <x:c r="L196" s="13"/>
    </x:row>
    <x:row r="197">
      <x:c r="A197" s="10" t="n">
        <x:v>193</x:v>
      </x:c>
      <x:c r="B197" s="11" t="n">
        <x:v>0.5837014721603608</x:v>
      </x:c>
      <x:c r="C197" s="13"/>
      <x:c r="D197" s="13"/>
      <x:c r="E197" s="13"/>
      <x:c r="F197" s="13"/>
      <x:c r="G197" s="13"/>
      <x:c r="H197" s="13"/>
      <x:c r="I197" s="13"/>
      <x:c r="J197" s="13"/>
      <x:c r="K197" s="13"/>
      <x:c r="L197" s="13"/>
    </x:row>
    <x:row r="198">
      <x:c r="A198" s="10" t="n">
        <x:v>194</x:v>
      </x:c>
      <x:c r="B198" s="11" t="n">
        <x:v>3.3141041623319456</x:v>
      </x:c>
      <x:c r="C198" s="13"/>
      <x:c r="D198" s="13"/>
      <x:c r="E198" s="13"/>
      <x:c r="F198" s="13"/>
      <x:c r="G198" s="13"/>
      <x:c r="H198" s="13"/>
      <x:c r="I198" s="13"/>
      <x:c r="J198" s="13"/>
      <x:c r="K198" s="13"/>
      <x:c r="L198" s="13"/>
    </x:row>
    <x:row r="199">
      <x:c r="A199" s="10" t="n">
        <x:v>195</x:v>
      </x:c>
      <x:c r="B199" s="11" t="n">
        <x:v>2.140698072317893</x:v>
      </x:c>
      <x:c r="C199" s="13"/>
      <x:c r="D199" s="13"/>
      <x:c r="E199" s="13"/>
      <x:c r="F199" s="13"/>
      <x:c r="G199" s="13"/>
      <x:c r="H199" s="13"/>
      <x:c r="I199" s="13"/>
      <x:c r="J199" s="13"/>
      <x:c r="K199" s="13"/>
      <x:c r="L199" s="13"/>
    </x:row>
    <x:row r="200">
      <x:c r="A200" s="10" t="n">
        <x:v>196</x:v>
      </x:c>
      <x:c r="B200" s="11" t="n">
        <x:v>1.2343683639313194</x:v>
      </x:c>
      <x:c r="C200" s="13"/>
      <x:c r="D200" s="13"/>
      <x:c r="E200" s="13"/>
      <x:c r="F200" s="13"/>
      <x:c r="G200" s="13"/>
      <x:c r="H200" s="13"/>
      <x:c r="I200" s="13"/>
      <x:c r="J200" s="13"/>
      <x:c r="K200" s="13"/>
      <x:c r="L200" s="13"/>
    </x:row>
    <x:row r="201">
      <x:c r="A201" s="10" t="n">
        <x:v>197</x:v>
      </x:c>
      <x:c r="B201" s="11" t="n">
        <x:v>4.742199062969225</x:v>
      </x:c>
      <x:c r="C201" s="13"/>
      <x:c r="D201" s="13"/>
      <x:c r="E201" s="13"/>
      <x:c r="F201" s="13"/>
      <x:c r="G201" s="13"/>
      <x:c r="H201" s="13"/>
      <x:c r="I201" s="13"/>
      <x:c r="J201" s="13"/>
      <x:c r="K201" s="13"/>
      <x:c r="L201" s="13"/>
    </x:row>
    <x:row r="202">
      <x:c r="A202" s="10" t="n">
        <x:v>198</x:v>
      </x:c>
      <x:c r="B202" s="11" t="n">
        <x:v>7.862291176399348</x:v>
      </x:c>
      <x:c r="C202" s="13"/>
      <x:c r="D202" s="13"/>
      <x:c r="E202" s="13"/>
      <x:c r="F202" s="13"/>
      <x:c r="G202" s="13"/>
      <x:c r="H202" s="13"/>
      <x:c r="I202" s="13"/>
      <x:c r="J202" s="13"/>
      <x:c r="K202" s="13"/>
      <x:c r="L202" s="13"/>
    </x:row>
    <x:row r="203">
      <x:c r="A203" s="10" t="n">
        <x:v>199</x:v>
      </x:c>
      <x:c r="B203" s="11" t="n">
        <x:v>1.7345408973959575</x:v>
      </x:c>
      <x:c r="C203" s="13"/>
      <x:c r="D203" s="13"/>
      <x:c r="E203" s="13"/>
      <x:c r="F203" s="13"/>
      <x:c r="G203" s="13"/>
      <x:c r="H203" s="13"/>
      <x:c r="I203" s="13"/>
      <x:c r="J203" s="13"/>
      <x:c r="K203" s="13"/>
      <x:c r="L203" s="13"/>
    </x:row>
    <x:row r="204">
      <x:c r="A204" s="10" t="n">
        <x:v>200</x:v>
      </x:c>
      <x:c r="B204" s="11" t="n">
        <x:v>19.40781994192111</x:v>
      </x:c>
      <x:c r="C204" s="13"/>
      <x:c r="D204" s="13"/>
      <x:c r="E204" s="13"/>
      <x:c r="F204" s="13"/>
      <x:c r="G204" s="13"/>
      <x:c r="H204" s="13"/>
      <x:c r="I204" s="13"/>
      <x:c r="J204" s="13"/>
      <x:c r="K204" s="13"/>
      <x:c r="L204" s="13"/>
    </x:row>
    <x:row r="205">
      <x:c r="A205" s="10" t="n">
        <x:v>201</x:v>
      </x:c>
      <x:c r="B205" s="11" t="n">
        <x:v>0.6600461910789428</x:v>
      </x:c>
      <x:c r="C205" s="13"/>
      <x:c r="D205" s="13"/>
      <x:c r="E205" s="13"/>
      <x:c r="F205" s="13"/>
      <x:c r="G205" s="13"/>
      <x:c r="H205" s="13"/>
      <x:c r="I205" s="13"/>
      <x:c r="J205" s="13"/>
      <x:c r="K205" s="13"/>
      <x:c r="L205" s="13"/>
    </x:row>
    <x:row r="206">
      <x:c r="A206" s="10" t="n">
        <x:v>202</x:v>
      </x:c>
      <x:c r="B206" s="11" t="n">
        <x:v>5.514909058917315</x:v>
      </x:c>
      <x:c r="C206" s="13"/>
      <x:c r="D206" s="13"/>
      <x:c r="E206" s="13"/>
      <x:c r="F206" s="13"/>
      <x:c r="G206" s="13"/>
      <x:c r="H206" s="13"/>
      <x:c r="I206" s="13"/>
      <x:c r="J206" s="13"/>
      <x:c r="K206" s="13"/>
      <x:c r="L206" s="13"/>
    </x:row>
    <x:row r="207">
      <x:c r="A207" s="10" t="n">
        <x:v>203</x:v>
      </x:c>
      <x:c r="B207" s="11" t="n">
        <x:v>5.228719717415517</x:v>
      </x:c>
      <x:c r="C207" s="13"/>
      <x:c r="D207" s="13"/>
      <x:c r="E207" s="13"/>
      <x:c r="F207" s="13"/>
      <x:c r="G207" s="13"/>
      <x:c r="H207" s="13"/>
      <x:c r="I207" s="13"/>
      <x:c r="J207" s="13"/>
      <x:c r="K207" s="13"/>
      <x:c r="L207" s="13"/>
    </x:row>
    <x:row r="208">
      <x:c r="A208" s="10" t="n">
        <x:v>204</x:v>
      </x:c>
      <x:c r="B208" s="11" t="n">
        <x:v>0.4596670895011587</x:v>
      </x:c>
      <x:c r="C208" s="13"/>
      <x:c r="D208" s="13"/>
      <x:c r="E208" s="13"/>
      <x:c r="F208" s="13"/>
      <x:c r="G208" s="13"/>
      <x:c r="H208" s="13"/>
      <x:c r="I208" s="13"/>
      <x:c r="J208" s="13"/>
      <x:c r="K208" s="13"/>
      <x:c r="L208" s="13"/>
    </x:row>
    <x:row r="209">
      <x:c r="A209" s="10" t="n">
        <x:v>205</x:v>
      </x:c>
      <x:c r="B209" s="11" t="n">
        <x:v>0.10258410923029823</x:v>
      </x:c>
      <x:c r="C209" s="13"/>
      <x:c r="D209" s="13"/>
      <x:c r="E209" s="13"/>
      <x:c r="F209" s="13"/>
      <x:c r="G209" s="13"/>
      <x:c r="H209" s="13"/>
      <x:c r="I209" s="13"/>
      <x:c r="J209" s="13"/>
      <x:c r="K209" s="13"/>
      <x:c r="L209" s="13"/>
    </x:row>
    <x:row r="210">
      <x:c r="A210" s="10" t="n">
        <x:v>206</x:v>
      </x:c>
      <x:c r="B210" s="11" t="n">
        <x:v>35.51361945246259</x:v>
      </x:c>
      <x:c r="C210" s="13"/>
      <x:c r="D210" s="13"/>
      <x:c r="E210" s="13"/>
      <x:c r="F210" s="13"/>
      <x:c r="G210" s="13"/>
      <x:c r="H210" s="13"/>
      <x:c r="I210" s="13"/>
      <x:c r="J210" s="13"/>
      <x:c r="K210" s="13"/>
      <x:c r="L210" s="13"/>
    </x:row>
    <x:row r="211">
      <x:c r="A211" s="10" t="n">
        <x:v>207</x:v>
      </x:c>
      <x:c r="B211" s="11" t="n">
        <x:v>2.05680451360318</x:v>
      </x:c>
      <x:c r="C211" s="13"/>
      <x:c r="D211" s="13"/>
      <x:c r="E211" s="13"/>
      <x:c r="F211" s="13"/>
      <x:c r="G211" s="13"/>
      <x:c r="H211" s="13"/>
      <x:c r="I211" s="13"/>
      <x:c r="J211" s="13"/>
      <x:c r="K211" s="13"/>
      <x:c r="L211" s="13"/>
    </x:row>
    <x:row r="212">
      <x:c r="A212" s="10" t="n">
        <x:v>208</x:v>
      </x:c>
      <x:c r="B212" s="11" t="n">
        <x:v>2.69939119296237</x:v>
      </x:c>
      <x:c r="C212" s="13"/>
      <x:c r="D212" s="13"/>
      <x:c r="E212" s="13"/>
      <x:c r="F212" s="13"/>
      <x:c r="G212" s="13"/>
      <x:c r="H212" s="13"/>
      <x:c r="I212" s="13"/>
      <x:c r="J212" s="13"/>
      <x:c r="K212" s="13"/>
      <x:c r="L212" s="13"/>
    </x:row>
    <x:row r="213">
      <x:c r="A213" s="10" t="n">
        <x:v>209</x:v>
      </x:c>
      <x:c r="B213" s="11" t="n">
        <x:v>2.0139838305258695</x:v>
      </x:c>
      <x:c r="C213" s="13"/>
      <x:c r="D213" s="13"/>
      <x:c r="E213" s="13"/>
      <x:c r="F213" s="13"/>
      <x:c r="G213" s="13"/>
      <x:c r="H213" s="13"/>
      <x:c r="I213" s="13"/>
      <x:c r="J213" s="13"/>
      <x:c r="K213" s="13"/>
      <x:c r="L213" s="13"/>
    </x:row>
    <x:row r="214">
      <x:c r="A214" s="10" t="n">
        <x:v>210</x:v>
      </x:c>
      <x:c r="B214" s="11" t="n">
        <x:v>1.398842873712645</x:v>
      </x:c>
      <x:c r="C214" s="13"/>
      <x:c r="D214" s="13"/>
      <x:c r="E214" s="13"/>
      <x:c r="F214" s="13"/>
      <x:c r="G214" s="13"/>
      <x:c r="H214" s="13"/>
      <x:c r="I214" s="13"/>
      <x:c r="J214" s="13"/>
      <x:c r="K214" s="13"/>
      <x:c r="L214" s="13"/>
    </x:row>
    <x:row r="215">
      <x:c r="A215" s="10" t="n">
        <x:v>211</x:v>
      </x:c>
      <x:c r="B215" s="11" t="n">
        <x:v>0.13872243654293517</x:v>
      </x:c>
      <x:c r="C215" s="13"/>
      <x:c r="D215" s="13"/>
      <x:c r="E215" s="13"/>
      <x:c r="F215" s="13"/>
      <x:c r="G215" s="13"/>
      <x:c r="H215" s="13"/>
      <x:c r="I215" s="13"/>
      <x:c r="J215" s="13"/>
      <x:c r="K215" s="13"/>
      <x:c r="L215" s="13"/>
    </x:row>
    <x:row r="216">
      <x:c r="A216" s="10" t="n">
        <x:v>212</x:v>
      </x:c>
      <x:c r="B216" s="11" t="n">
        <x:v>6.110361411123756</x:v>
      </x:c>
      <x:c r="C216" s="13"/>
      <x:c r="D216" s="13"/>
      <x:c r="E216" s="13"/>
      <x:c r="F216" s="13"/>
      <x:c r="G216" s="13"/>
      <x:c r="H216" s="13"/>
      <x:c r="I216" s="13"/>
      <x:c r="J216" s="13"/>
      <x:c r="K216" s="13"/>
      <x:c r="L216" s="13"/>
    </x:row>
    <x:row r="217">
      <x:c r="A217" s="10" t="n">
        <x:v>213</x:v>
      </x:c>
      <x:c r="B217" s="11" t="n">
        <x:v>30.18302734277707</x:v>
      </x:c>
      <x:c r="C217" s="13"/>
      <x:c r="D217" s="13"/>
      <x:c r="E217" s="13"/>
      <x:c r="F217" s="13"/>
      <x:c r="G217" s="13"/>
      <x:c r="H217" s="13"/>
      <x:c r="I217" s="13"/>
      <x:c r="J217" s="13"/>
      <x:c r="K217" s="13"/>
      <x:c r="L217" s="13"/>
    </x:row>
    <x:row r="218">
      <x:c r="A218" s="10" t="n">
        <x:v>214</x:v>
      </x:c>
      <x:c r="B218" s="11" t="n">
        <x:v>3.768405651741671</x:v>
      </x:c>
      <x:c r="C218" s="13"/>
      <x:c r="D218" s="13"/>
      <x:c r="E218" s="13"/>
      <x:c r="F218" s="13"/>
      <x:c r="G218" s="13"/>
      <x:c r="H218" s="13"/>
      <x:c r="I218" s="13"/>
      <x:c r="J218" s="13"/>
      <x:c r="K218" s="13"/>
      <x:c r="L218" s="13"/>
    </x:row>
    <x:row r="219">
      <x:c r="A219" s="10" t="n">
        <x:v>215</x:v>
      </x:c>
      <x:c r="B219" s="11" t="n">
        <x:v>2.5955101466752026</x:v>
      </x:c>
      <x:c r="C219" s="13"/>
      <x:c r="D219" s="13"/>
      <x:c r="E219" s="13"/>
      <x:c r="F219" s="13"/>
      <x:c r="G219" s="13"/>
      <x:c r="H219" s="13"/>
      <x:c r="I219" s="13"/>
      <x:c r="J219" s="13"/>
      <x:c r="K219" s="13"/>
      <x:c r="L219" s="13"/>
    </x:row>
    <x:row r="220">
      <x:c r="A220" s="10" t="n">
        <x:v>216</x:v>
      </x:c>
      <x:c r="B220" s="11" t="n">
        <x:v>9.717877893604363</x:v>
      </x:c>
      <x:c r="C220" s="13"/>
      <x:c r="D220" s="13"/>
      <x:c r="E220" s="13"/>
      <x:c r="F220" s="13"/>
      <x:c r="G220" s="13"/>
      <x:c r="H220" s="13"/>
      <x:c r="I220" s="13"/>
      <x:c r="J220" s="13"/>
      <x:c r="K220" s="13"/>
      <x:c r="L220" s="13"/>
    </x:row>
    <x:row r="221">
      <x:c r="A221" s="10" t="n">
        <x:v>217</x:v>
      </x:c>
      <x:c r="B221" s="11" t="n">
        <x:v>10.655619907748315</x:v>
      </x:c>
      <x:c r="C221" s="13"/>
      <x:c r="D221" s="13"/>
      <x:c r="E221" s="13"/>
      <x:c r="F221" s="13"/>
      <x:c r="G221" s="13"/>
      <x:c r="H221" s="13"/>
      <x:c r="I221" s="13"/>
      <x:c r="J221" s="13"/>
      <x:c r="K221" s="13"/>
      <x:c r="L221" s="13"/>
    </x:row>
    <x:row r="222">
      <x:c r="A222" s="10" t="n">
        <x:v>218</x:v>
      </x:c>
      <x:c r="B222" s="11" t="n">
        <x:v>0.6617603674656349</x:v>
      </x:c>
      <x:c r="C222" s="13"/>
      <x:c r="D222" s="13"/>
      <x:c r="E222" s="13"/>
      <x:c r="F222" s="13"/>
      <x:c r="G222" s="13"/>
      <x:c r="H222" s="13"/>
      <x:c r="I222" s="13"/>
      <x:c r="J222" s="13"/>
      <x:c r="K222" s="13"/>
      <x:c r="L222" s="13"/>
    </x:row>
    <x:row r="223">
      <x:c r="A223" s="10" t="n">
        <x:v>219</x:v>
      </x:c>
      <x:c r="B223" s="11" t="n">
        <x:v>2.2727054036256913</x:v>
      </x:c>
      <x:c r="C223" s="13"/>
      <x:c r="D223" s="13"/>
      <x:c r="E223" s="13"/>
      <x:c r="F223" s="13"/>
      <x:c r="G223" s="13"/>
      <x:c r="H223" s="13"/>
      <x:c r="I223" s="13"/>
      <x:c r="J223" s="13"/>
      <x:c r="K223" s="13"/>
      <x:c r="L223" s="13"/>
    </x:row>
    <x:row r="224">
      <x:c r="A224" s="10" t="n">
        <x:v>220</x:v>
      </x:c>
      <x:c r="B224" s="11" t="n">
        <x:v>5.553320721157875</x:v>
      </x:c>
      <x:c r="C224" s="13"/>
      <x:c r="D224" s="13"/>
      <x:c r="E224" s="13"/>
      <x:c r="F224" s="13"/>
      <x:c r="G224" s="13"/>
      <x:c r="H224" s="13"/>
      <x:c r="I224" s="13"/>
      <x:c r="J224" s="13"/>
      <x:c r="K224" s="13"/>
      <x:c r="L224" s="13"/>
    </x:row>
    <x:row r="225">
      <x:c r="A225" s="10" t="n">
        <x:v>221</x:v>
      </x:c>
      <x:c r="B225" s="11" t="n">
        <x:v>8.468427110590223</x:v>
      </x:c>
      <x:c r="C225" s="13"/>
      <x:c r="D225" s="13"/>
      <x:c r="E225" s="13"/>
      <x:c r="F225" s="13"/>
      <x:c r="G225" s="13"/>
      <x:c r="H225" s="13"/>
      <x:c r="I225" s="13"/>
      <x:c r="J225" s="13"/>
      <x:c r="K225" s="13"/>
      <x:c r="L225" s="13"/>
    </x:row>
    <x:row r="226">
      <x:c r="A226" s="10" t="n">
        <x:v>222</x:v>
      </x:c>
      <x:c r="B226" s="11" t="n">
        <x:v>20.45707395067213</x:v>
      </x:c>
      <x:c r="C226" s="13"/>
      <x:c r="D226" s="13"/>
      <x:c r="E226" s="13"/>
      <x:c r="F226" s="13"/>
      <x:c r="G226" s="13"/>
      <x:c r="H226" s="13"/>
      <x:c r="I226" s="13"/>
      <x:c r="J226" s="13"/>
      <x:c r="K226" s="13"/>
      <x:c r="L226" s="13"/>
    </x:row>
    <x:row r="227">
      <x:c r="A227" s="10" t="n">
        <x:v>223</x:v>
      </x:c>
      <x:c r="B227" s="11" t="n">
        <x:v>2.7073793743971297</x:v>
      </x:c>
      <x:c r="C227" s="13"/>
      <x:c r="D227" s="13"/>
      <x:c r="E227" s="13"/>
      <x:c r="F227" s="13"/>
      <x:c r="G227" s="13"/>
      <x:c r="H227" s="13"/>
      <x:c r="I227" s="13"/>
      <x:c r="J227" s="13"/>
      <x:c r="K227" s="13"/>
      <x:c r="L227" s="13"/>
    </x:row>
    <x:row r="228">
      <x:c r="A228" s="10" t="n">
        <x:v>224</x:v>
      </x:c>
      <x:c r="B228" s="11" t="n">
        <x:v>4.47072784937376</x:v>
      </x:c>
      <x:c r="C228" s="13"/>
      <x:c r="D228" s="13"/>
      <x:c r="E228" s="13"/>
      <x:c r="F228" s="13"/>
      <x:c r="G228" s="13"/>
      <x:c r="H228" s="13"/>
      <x:c r="I228" s="13"/>
      <x:c r="J228" s="13"/>
      <x:c r="K228" s="13"/>
      <x:c r="L228" s="13"/>
    </x:row>
    <x:row r="229">
      <x:c r="A229" s="10" t="n">
        <x:v>225</x:v>
      </x:c>
      <x:c r="B229" s="11" t="n">
        <x:v>1.6169237755320307</x:v>
      </x:c>
      <x:c r="C229" s="13"/>
      <x:c r="D229" s="13"/>
      <x:c r="E229" s="13"/>
      <x:c r="F229" s="13"/>
      <x:c r="G229" s="13"/>
      <x:c r="H229" s="13"/>
      <x:c r="I229" s="13"/>
      <x:c r="J229" s="13"/>
      <x:c r="K229" s="13"/>
      <x:c r="L229" s="13"/>
    </x:row>
    <x:row r="230">
      <x:c r="A230" s="10" t="n">
        <x:v>226</x:v>
      </x:c>
      <x:c r="B230" s="11" t="n">
        <x:v>1.8586494867524197</x:v>
      </x:c>
      <x:c r="C230" s="13"/>
      <x:c r="D230" s="13"/>
      <x:c r="E230" s="13"/>
      <x:c r="F230" s="13"/>
      <x:c r="G230" s="13"/>
      <x:c r="H230" s="13"/>
      <x:c r="I230" s="13"/>
      <x:c r="J230" s="13"/>
      <x:c r="K230" s="13"/>
      <x:c r="L230" s="13"/>
    </x:row>
    <x:row r="231">
      <x:c r="A231" s="10" t="n">
        <x:v>227</x:v>
      </x:c>
      <x:c r="B231" s="11" t="n">
        <x:v>0.7594652314539442</x:v>
      </x:c>
      <x:c r="C231" s="13"/>
      <x:c r="D231" s="13"/>
      <x:c r="E231" s="13"/>
      <x:c r="F231" s="13"/>
      <x:c r="G231" s="13"/>
      <x:c r="H231" s="13"/>
      <x:c r="I231" s="13"/>
      <x:c r="J231" s="13"/>
      <x:c r="K231" s="13"/>
      <x:c r="L231" s="13"/>
    </x:row>
    <x:row r="232">
      <x:c r="A232" s="10" t="n">
        <x:v>228</x:v>
      </x:c>
      <x:c r="B232" s="11" t="n">
        <x:v>0.5351491782587952</x:v>
      </x:c>
      <x:c r="C232" s="13"/>
      <x:c r="D232" s="13"/>
      <x:c r="E232" s="13"/>
      <x:c r="F232" s="13"/>
      <x:c r="G232" s="13"/>
      <x:c r="H232" s="13"/>
      <x:c r="I232" s="13"/>
      <x:c r="J232" s="13"/>
      <x:c r="K232" s="13"/>
      <x:c r="L232" s="13"/>
    </x:row>
    <x:row r="233">
      <x:c r="A233" s="10" t="n">
        <x:v>229</x:v>
      </x:c>
      <x:c r="B233" s="11" t="n">
        <x:v>35.59966135533779</x:v>
      </x:c>
      <x:c r="C233" s="13"/>
      <x:c r="D233" s="13"/>
      <x:c r="E233" s="13"/>
      <x:c r="F233" s="13"/>
      <x:c r="G233" s="13"/>
      <x:c r="H233" s="13"/>
      <x:c r="I233" s="13"/>
      <x:c r="J233" s="13"/>
      <x:c r="K233" s="13"/>
      <x:c r="L233" s="13"/>
    </x:row>
    <x:row r="234">
      <x:c r="A234" s="10" t="n">
        <x:v>230</x:v>
      </x:c>
      <x:c r="B234" s="11" t="n">
        <x:v>5.323735966620259</x:v>
      </x:c>
      <x:c r="C234" s="13"/>
      <x:c r="D234" s="13"/>
      <x:c r="E234" s="13"/>
      <x:c r="F234" s="13"/>
      <x:c r="G234" s="13"/>
      <x:c r="H234" s="13"/>
      <x:c r="I234" s="13"/>
      <x:c r="J234" s="13"/>
      <x:c r="K234" s="13"/>
      <x:c r="L234" s="13"/>
    </x:row>
    <x:row r="235">
      <x:c r="A235" s="10" t="n">
        <x:v>231</x:v>
      </x:c>
      <x:c r="B235" s="11" t="n">
        <x:v>0.564622230958737</x:v>
      </x:c>
      <x:c r="C235" s="13"/>
      <x:c r="D235" s="13"/>
      <x:c r="E235" s="13"/>
      <x:c r="F235" s="13"/>
      <x:c r="G235" s="13"/>
      <x:c r="H235" s="13"/>
      <x:c r="I235" s="13"/>
      <x:c r="J235" s="13"/>
      <x:c r="K235" s="13"/>
      <x:c r="L235" s="13"/>
    </x:row>
    <x:row r="236">
      <x:c r="A236" s="10" t="n">
        <x:v>232</x:v>
      </x:c>
      <x:c r="B236" s="11" t="n">
        <x:v>51.008327446334945</x:v>
      </x:c>
      <x:c r="C236" s="13"/>
      <x:c r="D236" s="13"/>
      <x:c r="E236" s="13"/>
      <x:c r="F236" s="13"/>
      <x:c r="G236" s="13"/>
      <x:c r="H236" s="13"/>
      <x:c r="I236" s="13"/>
      <x:c r="J236" s="13"/>
      <x:c r="K236" s="13"/>
      <x:c r="L236" s="13"/>
    </x:row>
    <x:row r="237">
      <x:c r="A237" s="10" t="n">
        <x:v>233</x:v>
      </x:c>
      <x:c r="B237" s="11" t="n">
        <x:v>0.3325005213261994</x:v>
      </x:c>
      <x:c r="C237" s="13"/>
      <x:c r="D237" s="13"/>
      <x:c r="E237" s="13"/>
      <x:c r="F237" s="13"/>
      <x:c r="G237" s="13"/>
      <x:c r="H237" s="13"/>
      <x:c r="I237" s="13"/>
      <x:c r="J237" s="13"/>
      <x:c r="K237" s="13"/>
      <x:c r="L237" s="13"/>
    </x:row>
    <x:row r="238">
      <x:c r="A238" s="10" t="n">
        <x:v>234</x:v>
      </x:c>
      <x:c r="B238" s="11" t="n">
        <x:v>0.27953683193171774</x:v>
      </x:c>
      <x:c r="C238" s="13"/>
      <x:c r="D238" s="13"/>
      <x:c r="E238" s="13"/>
      <x:c r="F238" s="13"/>
      <x:c r="G238" s="13"/>
      <x:c r="H238" s="13"/>
      <x:c r="I238" s="13"/>
      <x:c r="J238" s="13"/>
      <x:c r="K238" s="13"/>
      <x:c r="L238" s="13"/>
    </x:row>
    <x:row r="239">
      <x:c r="A239" s="10" t="n">
        <x:v>235</x:v>
      </x:c>
      <x:c r="B239" s="11" t="n">
        <x:v>1.5715178847539788</x:v>
      </x:c>
      <x:c r="C239" s="13"/>
      <x:c r="D239" s="13"/>
      <x:c r="E239" s="13"/>
      <x:c r="F239" s="13"/>
      <x:c r="G239" s="13"/>
      <x:c r="H239" s="13"/>
      <x:c r="I239" s="13"/>
      <x:c r="J239" s="13"/>
      <x:c r="K239" s="13"/>
      <x:c r="L239" s="13"/>
    </x:row>
    <x:row r="240">
      <x:c r="A240" s="10" t="n">
        <x:v>236</x:v>
      </x:c>
      <x:c r="B240" s="11" t="n">
        <x:v>10.887988398373125</x:v>
      </x:c>
      <x:c r="C240" s="13"/>
      <x:c r="D240" s="13"/>
      <x:c r="E240" s="13"/>
      <x:c r="F240" s="13"/>
      <x:c r="G240" s="13"/>
      <x:c r="H240" s="13"/>
      <x:c r="I240" s="13"/>
      <x:c r="J240" s="13"/>
      <x:c r="K240" s="13"/>
      <x:c r="L240" s="13"/>
    </x:row>
    <x:row r="241">
      <x:c r="A241" s="10" t="n">
        <x:v>237</x:v>
      </x:c>
      <x:c r="B241" s="11" t="n">
        <x:v>2.550545690172693</x:v>
      </x:c>
      <x:c r="C241" s="13"/>
      <x:c r="D241" s="13"/>
      <x:c r="E241" s="13"/>
      <x:c r="F241" s="13"/>
      <x:c r="G241" s="13"/>
      <x:c r="H241" s="13"/>
      <x:c r="I241" s="13"/>
      <x:c r="J241" s="13"/>
      <x:c r="K241" s="13"/>
      <x:c r="L241" s="13"/>
    </x:row>
    <x:row r="242">
      <x:c r="A242" s="10" t="n">
        <x:v>238</x:v>
      </x:c>
      <x:c r="B242" s="11" t="n">
        <x:v>0.11313518967063299</x:v>
      </x:c>
      <x:c r="C242" s="13"/>
      <x:c r="D242" s="13"/>
      <x:c r="E242" s="13"/>
      <x:c r="F242" s="13"/>
      <x:c r="G242" s="13"/>
      <x:c r="H242" s="13"/>
      <x:c r="I242" s="13"/>
      <x:c r="J242" s="13"/>
      <x:c r="K242" s="13"/>
      <x:c r="L242" s="13"/>
    </x:row>
    <x:row r="243">
      <x:c r="A243" s="10" t="n">
        <x:v>239</x:v>
      </x:c>
      <x:c r="B243" s="11" t="n">
        <x:v>4.9396833345019315</x:v>
      </x:c>
      <x:c r="C243" s="13"/>
      <x:c r="D243" s="13"/>
      <x:c r="E243" s="13"/>
      <x:c r="F243" s="13"/>
      <x:c r="G243" s="13"/>
      <x:c r="H243" s="13"/>
      <x:c r="I243" s="13"/>
      <x:c r="J243" s="13"/>
      <x:c r="K243" s="13"/>
      <x:c r="L243" s="13"/>
    </x:row>
    <x:row r="244">
      <x:c r="A244" s="10" t="n">
        <x:v>240</x:v>
      </x:c>
      <x:c r="B244" s="11" t="n">
        <x:v>3.8062020275529336</x:v>
      </x:c>
      <x:c r="C244" s="13"/>
      <x:c r="D244" s="13"/>
      <x:c r="E244" s="13"/>
      <x:c r="F244" s="13"/>
      <x:c r="G244" s="13"/>
      <x:c r="H244" s="13"/>
      <x:c r="I244" s="13"/>
      <x:c r="J244" s="13"/>
      <x:c r="K244" s="13"/>
      <x:c r="L244" s="13"/>
    </x:row>
    <x:row r="245">
      <x:c r="A245" s="10" t="n">
        <x:v>241</x:v>
      </x:c>
      <x:c r="B245" s="11" t="n">
        <x:v>2.9449788828463923</x:v>
      </x:c>
      <x:c r="C245" s="13"/>
      <x:c r="D245" s="13"/>
      <x:c r="E245" s="13"/>
      <x:c r="F245" s="13"/>
      <x:c r="G245" s="13"/>
      <x:c r="H245" s="13"/>
      <x:c r="I245" s="13"/>
      <x:c r="J245" s="13"/>
      <x:c r="K245" s="13"/>
      <x:c r="L245" s="13"/>
    </x:row>
    <x:row r="246">
      <x:c r="A246" s="10" t="n">
        <x:v>242</x:v>
      </x:c>
      <x:c r="B246" s="11" t="n">
        <x:v>1.2435688681373165</x:v>
      </x:c>
      <x:c r="C246" s="13"/>
      <x:c r="D246" s="13"/>
      <x:c r="E246" s="13"/>
      <x:c r="F246" s="13"/>
      <x:c r="G246" s="13"/>
      <x:c r="H246" s="13"/>
      <x:c r="I246" s="13"/>
      <x:c r="J246" s="13"/>
      <x:c r="K246" s="13"/>
      <x:c r="L246" s="13"/>
    </x:row>
    <x:row r="247">
      <x:c r="A247" s="10" t="n">
        <x:v>243</x:v>
      </x:c>
      <x:c r="B247" s="11" t="n">
        <x:v>1.2692620778349277</x:v>
      </x:c>
      <x:c r="C247" s="13"/>
      <x:c r="D247" s="13"/>
      <x:c r="E247" s="13"/>
      <x:c r="F247" s="13"/>
      <x:c r="G247" s="13"/>
      <x:c r="H247" s="13"/>
      <x:c r="I247" s="13"/>
      <x:c r="J247" s="13"/>
      <x:c r="K247" s="13"/>
      <x:c r="L247" s="13"/>
    </x:row>
    <x:row r="248">
      <x:c r="A248" s="10" t="n">
        <x:v>244</x:v>
      </x:c>
      <x:c r="B248" s="11" t="n">
        <x:v>5.153194744515963</x:v>
      </x:c>
      <x:c r="C248" s="13"/>
      <x:c r="D248" s="13"/>
      <x:c r="E248" s="13"/>
      <x:c r="F248" s="13"/>
      <x:c r="G248" s="13"/>
      <x:c r="H248" s="13"/>
      <x:c r="I248" s="13"/>
      <x:c r="J248" s="13"/>
      <x:c r="K248" s="13"/>
      <x:c r="L248" s="13"/>
    </x:row>
    <x:row r="249">
      <x:c r="A249" s="10" t="n">
        <x:v>245</x:v>
      </x:c>
      <x:c r="B249" s="11" t="n">
        <x:v>1.5979689369628076</x:v>
      </x:c>
      <x:c r="C249" s="13"/>
      <x:c r="D249" s="13"/>
      <x:c r="E249" s="13"/>
      <x:c r="F249" s="13"/>
      <x:c r="G249" s="13"/>
      <x:c r="H249" s="13"/>
      <x:c r="I249" s="13"/>
      <x:c r="J249" s="13"/>
      <x:c r="K249" s="13"/>
      <x:c r="L249" s="13"/>
    </x:row>
    <x:row r="250">
      <x:c r="A250" s="10" t="n">
        <x:v>246</x:v>
      </x:c>
      <x:c r="B250" s="11" t="n">
        <x:v>3.6907008558027266</x:v>
      </x:c>
      <x:c r="C250" s="13"/>
      <x:c r="D250" s="13"/>
      <x:c r="E250" s="13"/>
      <x:c r="F250" s="13"/>
      <x:c r="G250" s="13"/>
      <x:c r="H250" s="13"/>
      <x:c r="I250" s="13"/>
      <x:c r="J250" s="13"/>
      <x:c r="K250" s="13"/>
      <x:c r="L250" s="13"/>
    </x:row>
    <x:row r="251">
      <x:c r="A251" s="10" t="n">
        <x:v>247</x:v>
      </x:c>
      <x:c r="B251" s="11" t="n">
        <x:v>5.598250623204729</x:v>
      </x:c>
      <x:c r="C251" s="13"/>
      <x:c r="D251" s="13"/>
      <x:c r="E251" s="13"/>
      <x:c r="F251" s="13"/>
      <x:c r="G251" s="13"/>
      <x:c r="H251" s="13"/>
      <x:c r="I251" s="13"/>
      <x:c r="J251" s="13"/>
      <x:c r="K251" s="13"/>
      <x:c r="L251" s="13"/>
    </x:row>
    <x:row r="252">
      <x:c r="A252" s="10" t="n">
        <x:v>248</x:v>
      </x:c>
      <x:c r="B252" s="11" t="n">
        <x:v>0.6609031672848058</x:v>
      </x:c>
      <x:c r="C252" s="13"/>
      <x:c r="D252" s="13"/>
      <x:c r="E252" s="13"/>
      <x:c r="F252" s="13"/>
      <x:c r="G252" s="13"/>
      <x:c r="H252" s="13"/>
      <x:c r="I252" s="13"/>
      <x:c r="J252" s="13"/>
      <x:c r="K252" s="13"/>
      <x:c r="L252" s="13"/>
    </x:row>
    <x:row r="253">
      <x:c r="A253" s="10" t="n">
        <x:v>249</x:v>
      </x:c>
      <x:c r="B253" s="11" t="n">
        <x:v>4.16182723109992</x:v>
      </x:c>
      <x:c r="C253" s="13"/>
      <x:c r="D253" s="13"/>
      <x:c r="E253" s="13"/>
      <x:c r="F253" s="13"/>
      <x:c r="G253" s="13"/>
      <x:c r="H253" s="13"/>
      <x:c r="I253" s="13"/>
      <x:c r="J253" s="13"/>
      <x:c r="K253" s="13"/>
      <x:c r="L253" s="13"/>
    </x:row>
    <x:row r="254">
      <x:c r="A254" s="10" t="n">
        <x:v>250</x:v>
      </x:c>
      <x:c r="B254" s="11" t="n">
        <x:v>95.4137053825292</x:v>
      </x:c>
      <x:c r="C254" s="13"/>
      <x:c r="D254" s="13"/>
      <x:c r="E254" s="13"/>
      <x:c r="F254" s="13"/>
      <x:c r="G254" s="13"/>
      <x:c r="H254" s="13"/>
      <x:c r="I254" s="13"/>
      <x:c r="J254" s="13"/>
      <x:c r="K254" s="13"/>
      <x:c r="L254" s="13"/>
    </x:row>
    <x:row r="255">
      <x:c r="A255" s="10" t="n">
        <x:v>251</x:v>
      </x:c>
      <x:c r="B255" s="11" t="n">
        <x:v>0.20017134092489436</x:v>
      </x:c>
      <x:c r="C255" s="13"/>
      <x:c r="D255" s="13"/>
      <x:c r="E255" s="13"/>
      <x:c r="F255" s="13"/>
      <x:c r="G255" s="13"/>
      <x:c r="H255" s="13"/>
      <x:c r="I255" s="13"/>
      <x:c r="J255" s="13"/>
      <x:c r="K255" s="13"/>
      <x:c r="L255" s="13"/>
    </x:row>
    <x:row r="256">
      <x:c r="A256" s="10" t="n">
        <x:v>252</x:v>
      </x:c>
      <x:c r="B256" s="11" t="n">
        <x:v>1.4063648983238193</x:v>
      </x:c>
      <x:c r="C256" s="13"/>
      <x:c r="D256" s="13"/>
      <x:c r="E256" s="13"/>
      <x:c r="F256" s="13"/>
      <x:c r="G256" s="13"/>
      <x:c r="H256" s="13"/>
      <x:c r="I256" s="13"/>
      <x:c r="J256" s="13"/>
      <x:c r="K256" s="13"/>
      <x:c r="L256" s="13"/>
    </x:row>
    <x:row r="257">
      <x:c r="A257" s="10" t="n">
        <x:v>253</x:v>
      </x:c>
      <x:c r="B257" s="11" t="n">
        <x:v>0.18234554886840695</x:v>
      </x:c>
      <x:c r="C257" s="13"/>
      <x:c r="D257" s="13"/>
      <x:c r="E257" s="13"/>
      <x:c r="F257" s="13"/>
      <x:c r="G257" s="13"/>
      <x:c r="H257" s="13"/>
      <x:c r="I257" s="13"/>
      <x:c r="J257" s="13"/>
      <x:c r="K257" s="13"/>
      <x:c r="L257" s="13"/>
    </x:row>
    <x:row r="258">
      <x:c r="A258" s="10" t="n">
        <x:v>254</x:v>
      </x:c>
      <x:c r="B258" s="11" t="n">
        <x:v>3.939865021551274</x:v>
      </x:c>
      <x:c r="C258" s="13"/>
      <x:c r="D258" s="13"/>
      <x:c r="E258" s="13"/>
      <x:c r="F258" s="13"/>
      <x:c r="G258" s="13"/>
      <x:c r="H258" s="13"/>
      <x:c r="I258" s="13"/>
      <x:c r="J258" s="13"/>
      <x:c r="K258" s="13"/>
      <x:c r="L258" s="13"/>
    </x:row>
    <x:row r="259">
      <x:c r="A259" s="10" t="n">
        <x:v>255</x:v>
      </x:c>
      <x:c r="B259" s="11" t="n">
        <x:v>0.4740930859408287</x:v>
      </x:c>
      <x:c r="C259" s="13"/>
      <x:c r="D259" s="13"/>
      <x:c r="E259" s="13"/>
      <x:c r="F259" s="13"/>
      <x:c r="G259" s="13"/>
      <x:c r="H259" s="13"/>
      <x:c r="I259" s="13"/>
      <x:c r="J259" s="13"/>
      <x:c r="K259" s="13"/>
      <x:c r="L259" s="13"/>
    </x:row>
    <x:row r="260">
      <x:c r="A260" s="10" t="n">
        <x:v>256</x:v>
      </x:c>
      <x:c r="B260" s="11" t="n">
        <x:v>280.9379398828715</x:v>
      </x:c>
      <x:c r="C260" s="13"/>
      <x:c r="D260" s="13"/>
      <x:c r="E260" s="13"/>
      <x:c r="F260" s="13"/>
      <x:c r="G260" s="13"/>
      <x:c r="H260" s="13"/>
      <x:c r="I260" s="13"/>
      <x:c r="J260" s="13"/>
      <x:c r="K260" s="13"/>
      <x:c r="L260" s="13"/>
    </x:row>
    <x:row r="261">
      <x:c r="A261" s="10" t="n">
        <x:v>257</x:v>
      </x:c>
      <x:c r="B261" s="11" t="n">
        <x:v>1.181135387423362</x:v>
      </x:c>
      <x:c r="C261" s="13"/>
      <x:c r="D261" s="13"/>
      <x:c r="E261" s="13"/>
      <x:c r="F261" s="13"/>
      <x:c r="G261" s="13"/>
      <x:c r="H261" s="13"/>
      <x:c r="I261" s="13"/>
      <x:c r="J261" s="13"/>
      <x:c r="K261" s="13"/>
      <x:c r="L261" s="13"/>
    </x:row>
    <x:row r="262">
      <x:c r="A262" s="10" t="n">
        <x:v>258</x:v>
      </x:c>
      <x:c r="B262" s="11" t="n">
        <x:v>0.30250723188727674</x:v>
      </x:c>
      <x:c r="C262" s="13"/>
      <x:c r="D262" s="13"/>
      <x:c r="E262" s="13"/>
      <x:c r="F262" s="13"/>
      <x:c r="G262" s="13"/>
      <x:c r="H262" s="13"/>
      <x:c r="I262" s="13"/>
      <x:c r="J262" s="13"/>
      <x:c r="K262" s="13"/>
      <x:c r="L262" s="13"/>
    </x:row>
    <x:row r="263">
      <x:c r="A263" s="10" t="n">
        <x:v>259</x:v>
      </x:c>
      <x:c r="B263" s="11" t="n">
        <x:v>30.72642561876149</x:v>
      </x:c>
      <x:c r="C263" s="13"/>
      <x:c r="D263" s="13"/>
      <x:c r="E263" s="13"/>
      <x:c r="F263" s="13"/>
      <x:c r="G263" s="13"/>
      <x:c r="H263" s="13"/>
      <x:c r="I263" s="13"/>
      <x:c r="J263" s="13"/>
      <x:c r="K263" s="13"/>
      <x:c r="L263" s="13"/>
    </x:row>
    <x:row r="264">
      <x:c r="A264" s="10" t="n">
        <x:v>260</x:v>
      </x:c>
      <x:c r="B264" s="11" t="n">
        <x:v>5.063395818266811</x:v>
      </x:c>
      <x:c r="C264" s="13"/>
      <x:c r="D264" s="13"/>
      <x:c r="E264" s="13"/>
      <x:c r="F264" s="13"/>
      <x:c r="G264" s="13"/>
      <x:c r="H264" s="13"/>
      <x:c r="I264" s="13"/>
      <x:c r="J264" s="13"/>
      <x:c r="K264" s="13"/>
      <x:c r="L264" s="13"/>
    </x:row>
    <x:row r="265">
      <x:c r="A265" s="10" t="n">
        <x:v>261</x:v>
      </x:c>
      <x:c r="B265" s="11" t="n">
        <x:v>3.3105318097299277</x:v>
      </x:c>
      <x:c r="C265" s="13"/>
      <x:c r="D265" s="13"/>
      <x:c r="E265" s="13"/>
      <x:c r="F265" s="13"/>
      <x:c r="G265" s="13"/>
      <x:c r="H265" s="13"/>
      <x:c r="I265" s="13"/>
      <x:c r="J265" s="13"/>
      <x:c r="K265" s="13"/>
      <x:c r="L265" s="13"/>
    </x:row>
    <x:row r="266">
      <x:c r="A266" s="10" t="n">
        <x:v>262</x:v>
      </x:c>
      <x:c r="B266" s="11" t="n">
        <x:v>3.344488535897843</x:v>
      </x:c>
      <x:c r="C266" s="13"/>
      <x:c r="D266" s="13"/>
      <x:c r="E266" s="13"/>
      <x:c r="F266" s="13"/>
      <x:c r="G266" s="13"/>
      <x:c r="H266" s="13"/>
      <x:c r="I266" s="13"/>
      <x:c r="J266" s="13"/>
      <x:c r="K266" s="13"/>
      <x:c r="L266" s="13"/>
    </x:row>
    <x:row r="267">
      <x:c r="A267" s="10" t="n">
        <x:v>263</x:v>
      </x:c>
      <x:c r="B267" s="11" t="n">
        <x:v>2.6428916293752436</x:v>
      </x:c>
      <x:c r="C267" s="13"/>
      <x:c r="D267" s="13"/>
      <x:c r="E267" s="13"/>
      <x:c r="F267" s="13"/>
      <x:c r="G267" s="13"/>
      <x:c r="H267" s="13"/>
      <x:c r="I267" s="13"/>
      <x:c r="J267" s="13"/>
      <x:c r="K267" s="13"/>
      <x:c r="L267" s="13"/>
    </x:row>
    <x:row r="268">
      <x:c r="A268" s="10" t="n">
        <x:v>264</x:v>
      </x:c>
      <x:c r="B268" s="11" t="n">
        <x:v>5.2763838668360545</x:v>
      </x:c>
      <x:c r="C268" s="13"/>
      <x:c r="D268" s="13"/>
      <x:c r="E268" s="13"/>
      <x:c r="F268" s="13"/>
      <x:c r="G268" s="13"/>
      <x:c r="H268" s="13"/>
      <x:c r="I268" s="13"/>
      <x:c r="J268" s="13"/>
      <x:c r="K268" s="13"/>
      <x:c r="L268" s="13"/>
    </x:row>
    <x:row r="269">
      <x:c r="A269" s="10" t="n">
        <x:v>265</x:v>
      </x:c>
      <x:c r="B269" s="11" t="n">
        <x:v>1.1804180296289108</x:v>
      </x:c>
      <x:c r="C269" s="13"/>
      <x:c r="D269" s="13"/>
      <x:c r="E269" s="13"/>
      <x:c r="F269" s="13"/>
      <x:c r="G269" s="13"/>
      <x:c r="H269" s="13"/>
      <x:c r="I269" s="13"/>
      <x:c r="J269" s="13"/>
      <x:c r="K269" s="13"/>
      <x:c r="L269" s="13"/>
    </x:row>
    <x:row r="270">
      <x:c r="A270" s="10" t="n">
        <x:v>266</x:v>
      </x:c>
      <x:c r="B270" s="11" t="n">
        <x:v>9.564595684845193</x:v>
      </x:c>
      <x:c r="C270" s="13"/>
      <x:c r="D270" s="13"/>
      <x:c r="E270" s="13"/>
      <x:c r="F270" s="13"/>
      <x:c r="G270" s="13"/>
      <x:c r="H270" s="13"/>
      <x:c r="I270" s="13"/>
      <x:c r="J270" s="13"/>
      <x:c r="K270" s="13"/>
      <x:c r="L270" s="13"/>
    </x:row>
    <x:row r="271">
      <x:c r="A271" s="10" t="n">
        <x:v>267</x:v>
      </x:c>
      <x:c r="B271" s="11" t="n">
        <x:v>1.844391240426551</x:v>
      </x:c>
      <x:c r="C271" s="13"/>
      <x:c r="D271" s="13"/>
      <x:c r="E271" s="13"/>
      <x:c r="F271" s="13"/>
      <x:c r="G271" s="13"/>
      <x:c r="H271" s="13"/>
      <x:c r="I271" s="13"/>
      <x:c r="J271" s="13"/>
      <x:c r="K271" s="13"/>
      <x:c r="L271" s="13"/>
    </x:row>
    <x:row r="272">
      <x:c r="A272" s="10" t="n">
        <x:v>268</x:v>
      </x:c>
      <x:c r="B272" s="11" t="n">
        <x:v>3.2549770409651786</x:v>
      </x:c>
      <x:c r="C272" s="13"/>
      <x:c r="D272" s="13"/>
      <x:c r="E272" s="13"/>
      <x:c r="F272" s="13"/>
      <x:c r="G272" s="13"/>
      <x:c r="H272" s="13"/>
      <x:c r="I272" s="13"/>
      <x:c r="J272" s="13"/>
      <x:c r="K272" s="13"/>
      <x:c r="L272" s="13"/>
    </x:row>
    <x:row r="273">
      <x:c r="A273" s="10" t="n">
        <x:v>269</x:v>
      </x:c>
      <x:c r="B273" s="11" t="n">
        <x:v>7.088655553928833</x:v>
      </x:c>
      <x:c r="C273" s="13"/>
      <x:c r="D273" s="13"/>
      <x:c r="E273" s="13"/>
      <x:c r="F273" s="13"/>
      <x:c r="G273" s="13"/>
      <x:c r="H273" s="13"/>
      <x:c r="I273" s="13"/>
      <x:c r="J273" s="13"/>
      <x:c r="K273" s="13"/>
      <x:c r="L273" s="13"/>
    </x:row>
    <x:row r="274">
      <x:c r="A274" s="10" t="n">
        <x:v>270</x:v>
      </x:c>
      <x:c r="B274" s="11" t="n">
        <x:v>3.2771949026989793</x:v>
      </x:c>
      <x:c r="C274" s="13"/>
      <x:c r="D274" s="13"/>
      <x:c r="E274" s="13"/>
      <x:c r="F274" s="13"/>
      <x:c r="G274" s="13"/>
      <x:c r="H274" s="13"/>
      <x:c r="I274" s="13"/>
      <x:c r="J274" s="13"/>
      <x:c r="K274" s="13"/>
      <x:c r="L274" s="13"/>
    </x:row>
    <x:row r="275">
      <x:c r="A275" s="10" t="n">
        <x:v>271</x:v>
      </x:c>
      <x:c r="B275" s="11" t="n">
        <x:v>0.46462247622529973</x:v>
      </x:c>
      <x:c r="C275" s="13"/>
      <x:c r="D275" s="13"/>
      <x:c r="E275" s="13"/>
      <x:c r="F275" s="13"/>
      <x:c r="G275" s="13"/>
      <x:c r="H275" s="13"/>
      <x:c r="I275" s="13"/>
      <x:c r="J275" s="13"/>
      <x:c r="K275" s="13"/>
      <x:c r="L275" s="13"/>
    </x:row>
    <x:row r="276">
      <x:c r="A276" s="10" t="n">
        <x:v>272</x:v>
      </x:c>
      <x:c r="B276" s="11" t="n">
        <x:v>0.21040117571204375</x:v>
      </x:c>
      <x:c r="C276" s="13"/>
      <x:c r="D276" s="13"/>
      <x:c r="E276" s="13"/>
      <x:c r="F276" s="13"/>
      <x:c r="G276" s="13"/>
      <x:c r="H276" s="13"/>
      <x:c r="I276" s="13"/>
      <x:c r="J276" s="13"/>
      <x:c r="K276" s="13"/>
      <x:c r="L276" s="13"/>
    </x:row>
    <x:row r="277">
      <x:c r="A277" s="10" t="n">
        <x:v>273</x:v>
      </x:c>
      <x:c r="B277" s="11" t="n">
        <x:v>2.372686946611889</x:v>
      </x:c>
      <x:c r="C277" s="13"/>
      <x:c r="D277" s="13"/>
      <x:c r="E277" s="13"/>
      <x:c r="F277" s="13"/>
      <x:c r="G277" s="13"/>
      <x:c r="H277" s="13"/>
      <x:c r="I277" s="13"/>
      <x:c r="J277" s="13"/>
      <x:c r="K277" s="13"/>
      <x:c r="L277" s="13"/>
    </x:row>
    <x:row r="278">
      <x:c r="A278" s="10" t="n">
        <x:v>274</x:v>
      </x:c>
      <x:c r="B278" s="11" t="n">
        <x:v>1.2692620778349277</x:v>
      </x:c>
      <x:c r="C278" s="13"/>
      <x:c r="D278" s="13"/>
      <x:c r="E278" s="13"/>
      <x:c r="F278" s="13"/>
      <x:c r="G278" s="13"/>
      <x:c r="H278" s="13"/>
      <x:c r="I278" s="13"/>
      <x:c r="J278" s="13"/>
      <x:c r="K278" s="13"/>
      <x:c r="L278" s="13"/>
    </x:row>
    <x:row r="279">
      <x:c r="A279" s="10" t="n">
        <x:v>275</x:v>
      </x:c>
      <x:c r="B279" s="11" t="n">
        <x:v>0.8609510446205931</x:v>
      </x:c>
      <x:c r="C279" s="13"/>
      <x:c r="D279" s="13"/>
      <x:c r="E279" s="13"/>
      <x:c r="F279" s="13"/>
      <x:c r="G279" s="13"/>
      <x:c r="H279" s="13"/>
      <x:c r="I279" s="13"/>
      <x:c r="J279" s="13"/>
      <x:c r="K279" s="13"/>
      <x:c r="L279" s="13"/>
    </x:row>
    <x:row r="280">
      <x:c r="A280" s="10" t="n">
        <x:v>276</x:v>
      </x:c>
      <x:c r="B280" s="11" t="n">
        <x:v>63.60824841437342</x:v>
      </x:c>
      <x:c r="C280" s="13"/>
      <x:c r="D280" s="13"/>
      <x:c r="E280" s="13"/>
      <x:c r="F280" s="13"/>
      <x:c r="G280" s="13"/>
      <x:c r="H280" s="13"/>
      <x:c r="I280" s="13"/>
      <x:c r="J280" s="13"/>
      <x:c r="K280" s="13"/>
      <x:c r="L280" s="13"/>
    </x:row>
    <x:row r="281">
      <x:c r="A281" s="10" t="n">
        <x:v>277</x:v>
      </x:c>
      <x:c r="B281" s="11" t="n">
        <x:v>5.435732285347994</x:v>
      </x:c>
      <x:c r="C281" s="13"/>
      <x:c r="D281" s="13"/>
      <x:c r="E281" s="13"/>
      <x:c r="F281" s="13"/>
      <x:c r="G281" s="13"/>
      <x:c r="H281" s="13"/>
      <x:c r="I281" s="13"/>
      <x:c r="J281" s="13"/>
      <x:c r="K281" s="13"/>
      <x:c r="L281" s="13"/>
    </x:row>
    <x:row r="282">
      <x:c r="A282" s="10" t="n">
        <x:v>278</x:v>
      </x:c>
      <x:c r="B282" s="11" t="n">
        <x:v>4.00743735401753</x:v>
      </x:c>
      <x:c r="C282" s="13"/>
      <x:c r="D282" s="13"/>
      <x:c r="E282" s="13"/>
      <x:c r="F282" s="13"/>
      <x:c r="G282" s="13"/>
      <x:c r="H282" s="13"/>
      <x:c r="I282" s="13"/>
      <x:c r="J282" s="13"/>
      <x:c r="K282" s="13"/>
      <x:c r="L282" s="13"/>
    </x:row>
    <x:row r="283">
      <x:c r="A283" s="10" t="n">
        <x:v>279</x:v>
      </x:c>
      <x:c r="B283" s="11" t="n">
        <x:v>2.4248924764122752</x:v>
      </x:c>
      <x:c r="C283" s="13"/>
      <x:c r="D283" s="13"/>
      <x:c r="E283" s="13"/>
      <x:c r="F283" s="13"/>
      <x:c r="G283" s="13"/>
      <x:c r="H283" s="13"/>
      <x:c r="I283" s="13"/>
      <x:c r="J283" s="13"/>
      <x:c r="K283" s="13"/>
      <x:c r="L283" s="13"/>
    </x:row>
    <x:row r="284">
      <x:c r="A284" s="10" t="n">
        <x:v>280</x:v>
      </x:c>
      <x:c r="B284" s="11" t="n">
        <x:v>3.012744869798145</x:v>
      </x:c>
      <x:c r="C284" s="13"/>
      <x:c r="D284" s="13"/>
      <x:c r="E284" s="13"/>
      <x:c r="F284" s="13"/>
      <x:c r="G284" s="13"/>
      <x:c r="H284" s="13"/>
      <x:c r="I284" s="13"/>
      <x:c r="J284" s="13"/>
      <x:c r="K284" s="13"/>
      <x:c r="L284" s="13"/>
    </x:row>
    <x:row r="285">
      <x:c r="A285" s="10" t="n">
        <x:v>281</x:v>
      </x:c>
      <x:c r="B285" s="11" t="n">
        <x:v>41.46000027467294</x:v>
      </x:c>
      <x:c r="C285" s="13"/>
      <x:c r="D285" s="13"/>
      <x:c r="E285" s="13"/>
      <x:c r="F285" s="13"/>
      <x:c r="G285" s="13"/>
      <x:c r="H285" s="13"/>
      <x:c r="I285" s="13"/>
      <x:c r="J285" s="13"/>
      <x:c r="K285" s="13"/>
      <x:c r="L285" s="13"/>
    </x:row>
    <x:row r="286">
      <x:c r="A286" s="10" t="n">
        <x:v>282</x:v>
      </x:c>
      <x:c r="B286" s="11" t="n">
        <x:v>3.1079150070779225</x:v>
      </x:c>
      <x:c r="C286" s="13"/>
      <x:c r="D286" s="13"/>
      <x:c r="E286" s="13"/>
      <x:c r="F286" s="13"/>
      <x:c r="G286" s="13"/>
      <x:c r="H286" s="13"/>
      <x:c r="I286" s="13"/>
      <x:c r="J286" s="13"/>
      <x:c r="K286" s="13"/>
      <x:c r="L286" s="13"/>
    </x:row>
    <x:row r="287">
      <x:c r="A287" s="10" t="n">
        <x:v>283</x:v>
      </x:c>
      <x:c r="B287" s="11" t="n">
        <x:v>0.7418479232025645</x:v>
      </x:c>
      <x:c r="C287" s="13"/>
      <x:c r="D287" s="13"/>
      <x:c r="E287" s="13"/>
      <x:c r="F287" s="13"/>
      <x:c r="G287" s="13"/>
      <x:c r="H287" s="13"/>
      <x:c r="I287" s="13"/>
      <x:c r="J287" s="13"/>
      <x:c r="K287" s="13"/>
      <x:c r="L287" s="13"/>
    </x:row>
    <x:row r="288">
      <x:c r="A288" s="10" t="n">
        <x:v>284</x:v>
      </x:c>
      <x:c r="B288" s="11" t="n">
        <x:v>0.2849914008904361</x:v>
      </x:c>
      <x:c r="C288" s="13"/>
      <x:c r="D288" s="13"/>
      <x:c r="E288" s="13"/>
      <x:c r="F288" s="13"/>
      <x:c r="G288" s="13"/>
      <x:c r="H288" s="13"/>
      <x:c r="I288" s="13"/>
      <x:c r="J288" s="13"/>
      <x:c r="K288" s="13"/>
      <x:c r="L288" s="13"/>
    </x:row>
    <x:row r="289">
      <x:c r="A289" s="10" t="n">
        <x:v>285</x:v>
      </x:c>
      <x:c r="B289" s="11" t="n">
        <x:v>10.003084441319105</x:v>
      </x:c>
      <x:c r="C289" s="13"/>
      <x:c r="D289" s="13"/>
      <x:c r="E289" s="13"/>
      <x:c r="F289" s="13"/>
      <x:c r="G289" s="13"/>
      <x:c r="H289" s="13"/>
      <x:c r="I289" s="13"/>
      <x:c r="J289" s="13"/>
      <x:c r="K289" s="13"/>
      <x:c r="L289" s="13"/>
    </x:row>
    <x:row r="290">
      <x:c r="A290" s="10" t="n">
        <x:v>286</x:v>
      </x:c>
      <x:c r="B290" s="11" t="n">
        <x:v>8.00968621765062</x:v>
      </x:c>
      <x:c r="C290" s="13"/>
      <x:c r="D290" s="13"/>
      <x:c r="E290" s="13"/>
      <x:c r="F290" s="13"/>
      <x:c r="G290" s="13"/>
      <x:c r="H290" s="13"/>
      <x:c r="I290" s="13"/>
      <x:c r="J290" s="13"/>
      <x:c r="K290" s="13"/>
      <x:c r="L290" s="13"/>
    </x:row>
    <x:row r="291">
      <x:c r="A291" s="10" t="n">
        <x:v>287</x:v>
      </x:c>
      <x:c r="B291" s="11" t="n">
        <x:v>44.646001792934015</x:v>
      </x:c>
      <x:c r="C291" s="13"/>
      <x:c r="D291" s="13"/>
      <x:c r="E291" s="13"/>
      <x:c r="F291" s="13"/>
      <x:c r="G291" s="13"/>
      <x:c r="H291" s="13"/>
      <x:c r="I291" s="13"/>
      <x:c r="J291" s="13"/>
      <x:c r="K291" s="13"/>
      <x:c r="L291" s="13"/>
    </x:row>
    <x:row r="292">
      <x:c r="A292" s="10" t="n">
        <x:v>288</x:v>
      </x:c>
      <x:c r="B292" s="11" t="n">
        <x:v>0.7313227823338122</x:v>
      </x:c>
      <x:c r="C292" s="13"/>
      <x:c r="D292" s="13"/>
      <x:c r="E292" s="13"/>
      <x:c r="F292" s="13"/>
      <x:c r="G292" s="13"/>
      <x:c r="H292" s="13"/>
      <x:c r="I292" s="13"/>
      <x:c r="J292" s="13"/>
      <x:c r="K292" s="13"/>
      <x:c r="L292" s="13"/>
    </x:row>
    <x:row r="293">
      <x:c r="A293" s="10" t="n">
        <x:v>289</x:v>
      </x:c>
      <x:c r="B293" s="11" t="n">
        <x:v>1.5006888688387456</x:v>
      </x:c>
      <x:c r="C293" s="13"/>
      <x:c r="D293" s="13"/>
      <x:c r="E293" s="13"/>
      <x:c r="F293" s="13"/>
      <x:c r="G293" s="13"/>
      <x:c r="H293" s="13"/>
      <x:c r="I293" s="13"/>
      <x:c r="J293" s="13"/>
      <x:c r="K293" s="13"/>
      <x:c r="L293" s="13"/>
    </x:row>
    <x:row r="294">
      <x:c r="A294" s="10" t="n">
        <x:v>290</x:v>
      </x:c>
      <x:c r="B294" s="11" t="n">
        <x:v>3.142435770288665</x:v>
      </x:c>
      <x:c r="C294" s="13"/>
      <x:c r="D294" s="13"/>
      <x:c r="E294" s="13"/>
      <x:c r="F294" s="13"/>
      <x:c r="G294" s="13"/>
      <x:c r="H294" s="13"/>
      <x:c r="I294" s="13"/>
      <x:c r="J294" s="13"/>
      <x:c r="K294" s="13"/>
      <x:c r="L294" s="13"/>
    </x:row>
    <x:row r="295">
      <x:c r="A295" s="10" t="n">
        <x:v>291</x:v>
      </x:c>
      <x:c r="B295" s="11" t="n">
        <x:v>6.0627205277298435</x:v>
      </x:c>
      <x:c r="C295" s="13"/>
      <x:c r="D295" s="13"/>
      <x:c r="E295" s="13"/>
      <x:c r="F295" s="13"/>
      <x:c r="G295" s="13"/>
      <x:c r="H295" s="13"/>
      <x:c r="I295" s="13"/>
      <x:c r="J295" s="13"/>
      <x:c r="K295" s="13"/>
      <x:c r="L295" s="13"/>
    </x:row>
    <x:row r="296">
      <x:c r="A296" s="10" t="n">
        <x:v>292</x:v>
      </x:c>
      <x:c r="B296" s="11" t="n">
        <x:v>0.20869398594894825</x:v>
      </x:c>
      <x:c r="C296" s="13"/>
      <x:c r="D296" s="13"/>
      <x:c r="E296" s="13"/>
      <x:c r="F296" s="13"/>
      <x:c r="G296" s="13"/>
      <x:c r="H296" s="13"/>
      <x:c r="I296" s="13"/>
      <x:c r="J296" s="13"/>
      <x:c r="K296" s="13"/>
      <x:c r="L296" s="13"/>
    </x:row>
    <x:row r="297">
      <x:c r="A297" s="10" t="n">
        <x:v>293</x:v>
      </x:c>
      <x:c r="B297" s="11" t="n">
        <x:v>4.612630222181225</x:v>
      </x:c>
      <x:c r="C297" s="13"/>
      <x:c r="D297" s="13"/>
      <x:c r="E297" s="13"/>
      <x:c r="F297" s="13"/>
      <x:c r="G297" s="13"/>
      <x:c r="H297" s="13"/>
      <x:c r="I297" s="13"/>
      <x:c r="J297" s="13"/>
      <x:c r="K297" s="13"/>
      <x:c r="L297" s="13"/>
    </x:row>
    <x:row r="298">
      <x:c r="A298" s="10" t="n">
        <x:v>294</x:v>
      </x:c>
      <x:c r="B298" s="11" t="n">
        <x:v>16.11177979595979</x:v>
      </x:c>
      <x:c r="C298" s="13"/>
      <x:c r="D298" s="13"/>
      <x:c r="E298" s="13"/>
      <x:c r="F298" s="13"/>
      <x:c r="G298" s="13"/>
      <x:c r="H298" s="13"/>
      <x:c r="I298" s="13"/>
      <x:c r="J298" s="13"/>
      <x:c r="K298" s="13"/>
      <x:c r="L298" s="13"/>
    </x:row>
    <x:row r="299">
      <x:c r="A299" s="10" t="n">
        <x:v>295</x:v>
      </x:c>
      <x:c r="B299" s="11" t="n">
        <x:v>4.152938311466118</x:v>
      </x:c>
      <x:c r="C299" s="13"/>
      <x:c r="D299" s="13"/>
      <x:c r="E299" s="13"/>
      <x:c r="F299" s="13"/>
      <x:c r="G299" s="13"/>
      <x:c r="H299" s="13"/>
      <x:c r="I299" s="13"/>
      <x:c r="J299" s="13"/>
      <x:c r="K299" s="13"/>
      <x:c r="L299" s="13"/>
    </x:row>
    <x:row r="300">
      <x:c r="A300" s="10" t="n">
        <x:v>296</x:v>
      </x:c>
      <x:c r="B300" s="11" t="n">
        <x:v>2.64020397703233</x:v>
      </x:c>
      <x:c r="C300" s="13"/>
      <x:c r="D300" s="13"/>
      <x:c r="E300" s="13"/>
      <x:c r="F300" s="13"/>
      <x:c r="G300" s="13"/>
      <x:c r="H300" s="13"/>
      <x:c r="I300" s="13"/>
      <x:c r="J300" s="13"/>
      <x:c r="K300" s="13"/>
      <x:c r="L300" s="13"/>
    </x:row>
    <x:row r="301">
      <x:c r="A301" s="10" t="n">
        <x:v>297</x:v>
      </x:c>
      <x:c r="B301" s="11" t="n">
        <x:v>2.5104904781139488</x:v>
      </x:c>
      <x:c r="C301" s="13"/>
      <x:c r="D301" s="13"/>
      <x:c r="E301" s="13"/>
      <x:c r="F301" s="13"/>
      <x:c r="G301" s="13"/>
      <x:c r="H301" s="13"/>
      <x:c r="I301" s="13"/>
      <x:c r="J301" s="13"/>
      <x:c r="K301" s="13"/>
      <x:c r="L301" s="13"/>
    </x:row>
    <x:row r="302">
      <x:c r="A302" s="10" t="n">
        <x:v>298</x:v>
      </x:c>
      <x:c r="B302" s="11" t="n">
        <x:v>20.610527626630226</x:v>
      </x:c>
      <x:c r="C302" s="13"/>
      <x:c r="D302" s="13"/>
      <x:c r="E302" s="13"/>
      <x:c r="F302" s="13"/>
      <x:c r="G302" s="13"/>
      <x:c r="H302" s="13"/>
      <x:c r="I302" s="13"/>
      <x:c r="J302" s="13"/>
      <x:c r="K302" s="13"/>
      <x:c r="L302" s="13"/>
    </x:row>
    <x:row r="303">
      <x:c r="A303" s="10" t="n">
        <x:v>299</x:v>
      </x:c>
      <x:c r="B303" s="11" t="n">
        <x:v>3.981049706617332</x:v>
      </x:c>
      <x:c r="C303" s="13"/>
      <x:c r="D303" s="13"/>
      <x:c r="E303" s="13"/>
      <x:c r="F303" s="13"/>
      <x:c r="G303" s="13"/>
      <x:c r="H303" s="13"/>
      <x:c r="I303" s="13"/>
      <x:c r="J303" s="13"/>
      <x:c r="K303" s="13"/>
      <x:c r="L303" s="13"/>
    </x:row>
    <x:row r="304">
      <x:c r="A304" s="10" t="n">
        <x:v>300</x:v>
      </x:c>
      <x:c r="B304" s="11" t="n">
        <x:v>2.6147805276634277</x:v>
      </x:c>
      <x:c r="C304" s="13"/>
      <x:c r="D304" s="13"/>
      <x:c r="E304" s="13"/>
      <x:c r="F304" s="13"/>
      <x:c r="G304" s="13"/>
      <x:c r="H304" s="13"/>
      <x:c r="I304" s="13"/>
      <x:c r="J304" s="13"/>
      <x:c r="K304" s="13"/>
      <x:c r="L304" s="13"/>
    </x:row>
  </x:sheetData>
  <x:pageMargins left="0.7" right="0.7" top="0.75" bottom="0.75" header="0.3" footer="0.3"/>
  <x:drawing xmlns:r="http://schemas.openxmlformats.org/officeDocument/2006/relationships" r:id="Ra7656558a01a4791"/>
</x:worksheet>
</file>