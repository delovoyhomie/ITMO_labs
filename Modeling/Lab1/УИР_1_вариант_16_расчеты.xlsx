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6edda20b8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и" sheetId="1" r:id="Rdd3f3782bbd6424f"/>
    <x:sheet xmlns:r="http://schemas.openxmlformats.org/officeDocument/2006/relationships" name="Статистика" sheetId="2" r:id="R3ef6fa7b18084123"/>
    <x:sheet xmlns:r="http://schemas.openxmlformats.org/officeDocument/2006/relationships" name="Распределение" sheetId="3" r:id="R51971bcea4524a91"/>
    <x:sheet xmlns:r="http://schemas.openxmlformats.org/officeDocument/2006/relationships" name="Автокорреляция" sheetId="4" r:id="R3694c69a07764a87"/>
    <x:sheet xmlns:r="http://schemas.openxmlformats.org/officeDocument/2006/relationships" name="Генератор" sheetId="5" r:id="Rb93c0cec394548d8"/>
    <x:sheet xmlns:r="http://schemas.openxmlformats.org/officeDocument/2006/relationships" name="Исходные данные" sheetId="6" r:id="Rcf258419fb8248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00000"/>
    <x:numFmt numFmtId="202" formatCode="0.0%"/>
    <x:numFmt numFmtId="203" formatCode="0.000"/>
    <x:numFmt numFmtId="204" formatCode="0.00"/>
  </x:numFmts>
  <x:fonts count="7">
    <x:font>
      <x:sz val="11"/>
      <x:name val="Carlito"/>
    </x:font>
    <x:font>
      <x:b/>
      <x:sz val="12"/>
      <x:color rgb="FF000000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b/>
      <x:sz val="11"/>
      <x:name val="Arial"/>
    </x:font>
    <x:font>
      <x:b/>
      <x:sz val="11"/>
      <x:color rgb="FF000000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">
    <x:border>
      <x:left/>
      <x:right/>
      <x:top/>
      <x:bottom/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203" fontId="3" fillId="0" borderId="1" xfId="0" applyNumberFormat="1" applyFont="1" applyFill="1" applyBorder="1" applyAlignment="1">
      <x:alignment vertical="center"/>
    </x:xf>
    <x:xf numFmtId="204" fontId="3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0b788c455a442b" /><Relationship Type="http://schemas.openxmlformats.org/officeDocument/2006/relationships/theme" Target="/xl/theme/theme1.xml" Id="Ra3ed575dd1564b5c" /><Relationship Type="http://schemas.openxmlformats.org/officeDocument/2006/relationships/sharedStrings" Target="/xl/sharedStrings.xml" Id="R144f3245080643ea" /><Relationship Type="http://schemas.openxmlformats.org/officeDocument/2006/relationships/worksheet" Target="/xl/worksheets/sheet1.xml" Id="Rdd3f3782bbd6424f" /><Relationship Type="http://schemas.openxmlformats.org/officeDocument/2006/relationships/worksheet" Target="/xl/worksheets/sheet2.xml" Id="R3ef6fa7b18084123" /><Relationship Type="http://schemas.openxmlformats.org/officeDocument/2006/relationships/worksheet" Target="/xl/worksheets/sheet3.xml" Id="R51971bcea4524a91" /><Relationship Type="http://schemas.openxmlformats.org/officeDocument/2006/relationships/worksheet" Target="/xl/worksheets/sheet4.xml" Id="R3694c69a07764a87" /><Relationship Type="http://schemas.openxmlformats.org/officeDocument/2006/relationships/worksheet" Target="/xl/worksheets/sheet5.xml" Id="Rb93c0cec394548d8" /><Relationship Type="http://schemas.openxmlformats.org/officeDocument/2006/relationships/worksheet" Target="/xl/worksheets/sheet6.xml" Id="Rcf258419fb8248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58f06be482421d" /><Relationship Type="http://schemas.openxmlformats.org/officeDocument/2006/relationships/chart" Target="/xl/drawings/charts/chart2.xml" Id="R0453fa4f3d91499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3d1cfd0c04847c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e9aa089038642c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cfaec6701f7e4f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Сравнение распределений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Исходная ЧП</c:v>
          </c:tx>
          <c:cat>
            <c:strRef>
              <c:f>'Распределение'!$A$5:$A$19</c:f>
              <c:strCache>
                <c:ptCount val="0"/>
              </c:strCache>
            </c:strRef>
          </c:cat>
          <c:val>
            <c:numRef>
              <c:f>'Распределение'!$B$5:$B$19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Сгенерированная ЧП</c:v>
          </c:tx>
          <c:cat>
            <c:strRef>
              <c:f>'Распределение'!$A$5:$A$19</c:f>
              <c:strCache>
                <c:ptCount val="0"/>
              </c:strCache>
            </c:strRef>
          </c:cat>
          <c:val>
            <c:numRef>
              <c:f>'Распределение'!$C$5:$C$19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Исходная ЧП и модель H2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Исходная ЧП</c:v>
          </c:tx>
          <c:marker>
            <c:symbol val="none"/>
          </c:marker>
          <c:cat>
            <c:strRef>
              <c:f>'Распределение'!$A$5:$A$19</c:f>
              <c:strCache>
                <c:ptCount val="0"/>
              </c:strCache>
            </c:strRef>
          </c:cat>
          <c:val>
            <c:numRef>
              <c:f>'Распределение'!$B$5:$B$19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Теоретическая частота H2</c:v>
          </c:tx>
          <c:marker>
            <c:symbol val="none"/>
          </c:marker>
          <c:cat>
            <c:strRef>
              <c:f>'Распределение'!$A$5:$A$19</c:f>
              <c:strCache>
                <c:ptCount val="0"/>
              </c:strCache>
            </c:strRef>
          </c:cat>
          <c:val>
            <c:numRef>
              <c:f>'Распределение'!$D$5:$D$19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Коэффициенты автокорреляции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Исходная ЧП</c:v>
          </c:tx>
          <c:marker>
            <c:symbol val="none"/>
          </c:marker>
          <c:cat>
            <c:strRef>
              <c:f>'Автокорреляция'!$A$5:$A$14</c:f>
              <c:strCache>
                <c:ptCount val="0"/>
              </c:strCache>
            </c:strRef>
          </c:cat>
          <c:val>
            <c:numRef>
              <c:f>'Автокорреляция'!$B$5:$B$14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Сгенерированная ЧП</c:v>
          </c:tx>
          <c:marker>
            <c:symbol val="none"/>
          </c:marker>
          <c:cat>
            <c:strRef>
              <c:f>'Автокорреляция'!$A$5:$A$14</c:f>
              <c:strCache>
                <c:ptCount val="0"/>
              </c:strCache>
            </c:strRef>
          </c:cat>
          <c:val>
            <c:numRef>
              <c:f>'Автокорреляция'!$C$5:$C$14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Граница 95 %</c:v>
          </c:tx>
          <c:marker>
            <c:symbol val="none"/>
          </c:marker>
          <c:cat>
            <c:strRef>
              <c:f>'Автокорреляция'!$A$5:$A$14</c:f>
              <c:strCache>
                <c:ptCount val="0"/>
              </c:strCache>
            </c:strRef>
          </c:cat>
          <c:val>
            <c:numRef>
              <c:f>'Автокорреляция'!$E$5:$E$14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Сгенерированная числовая последовательность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Сгенерированное X</c:v>
          </c:tx>
          <c:marker>
            <c:symbol val="none"/>
          </c:marker>
          <c:cat>
            <c:strRef>
              <c:f>'Генератор'!$A$12:$A$311</c:f>
              <c:strCache>
                <c:ptCount val="0"/>
              </c:strCache>
            </c:strRef>
          </c:cat>
          <c:val>
            <c:numRef>
              <c:f>'Генератор'!$E$12:$E$311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Исходная числовая последовательность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Значение</c:v>
          </c:tx>
          <c:marker>
            <c:symbol val="none"/>
          </c:marker>
          <c:cat>
            <c:strRef>
              <c:f>'Исходные данные'!$A$5:$A$304</c:f>
              <c:strCache>
                <c:ptCount val="0"/>
              </c:strCache>
            </c:strRef>
          </c:cat>
          <c:val>
            <c:numRef>
              <c:f>'Исходные данные'!$B$5:$B$304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58f06be482421d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53fa4f3d91499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d1cfd0c04847c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15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9aa089038642ca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aec6701f7e4f2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2330039aa1149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cd9bf4c102de45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83021b64408448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9951e9abe6104be0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6" hidden="0" customWidth="1"/>
    <x:col min="2" max="2" width="34" hidden="0" customWidth="1"/>
    <x:col min="3" max="3" width="3" hidden="0" customWidth="1"/>
    <x:col min="4" max="4" width="28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</x:row>
    <x:row r="2">
      <x:c r="A2" s="14" t="str">
        <x:v>УИР 1 Статистический анализ результатов измерений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7" t="str">
        <x:v>Параметр</x:v>
      </x:c>
      <x:c r="B4" s="7" t="str">
        <x:v>Значение</x:v>
      </x:c>
      <x:c r="C4" s="13"/>
      <x:c r="D4" s="7" t="str">
        <x:v>Ключевой результат</x:v>
      </x:c>
      <x:c r="E4" s="7" t="str">
        <x:v>Значение</x:v>
      </x:c>
      <x:c r="F4" s="13"/>
      <x:c r="G4" s="13"/>
      <x:c r="H4" s="13"/>
    </x:row>
    <x:row r="5">
      <x:c r="A5" s="10" t="str">
        <x:v>Студент</x:v>
      </x:c>
      <x:c r="B5" s="10" t="str">
        <x:v>Якименко Владислав Игоревич</x:v>
      </x:c>
      <x:c r="C5" s="13"/>
      <x:c r="D5" s="10" t="str">
        <x:v>Мат. ожидание</x:v>
      </x:c>
      <x:c r="E5" s="11" t="n">
        <x:f>'Статистика'!B10</x:f>
        <x:v>8.020778465134065</x:v>
      </x:c>
      <x:c r="F5" s="13"/>
      <x:c r="G5" s="13"/>
      <x:c r="H5" s="13"/>
    </x:row>
    <x:row r="6">
      <x:c r="A6" s="10" t="str">
        <x:v>Группа</x:v>
      </x:c>
      <x:c r="B6" s="10" t="str">
        <x:v>P3313</x:v>
      </x:c>
      <x:c r="C6" s="13"/>
      <x:c r="D6" s="10" t="str">
        <x:v>Дисперсия</x:v>
      </x:c>
      <x:c r="E6" s="11" t="n">
        <x:f>'Статистика'!D10</x:f>
        <x:v>510.43094100188716</x:v>
      </x:c>
      <x:c r="F6" s="13"/>
      <x:c r="G6" s="13"/>
      <x:c r="H6" s="13"/>
    </x:row>
    <x:row r="7">
      <x:c r="A7" s="10" t="str">
        <x:v>Вариант</x:v>
      </x:c>
      <x:c r="B7" s="10" t="n">
        <x:v>16</x:v>
      </x:c>
      <x:c r="C7" s="13"/>
      <x:c r="D7" s="10" t="str">
        <x:v>СКО</x:v>
      </x:c>
      <x:c r="E7" s="11" t="n">
        <x:f>'Статистика'!F10</x:f>
        <x:v>22.592718760739867</x:v>
      </x:c>
      <x:c r="F7" s="13"/>
      <x:c r="G7" s="13"/>
      <x:c r="H7" s="13"/>
    </x:row>
    <x:row r="8">
      <x:c r="A8" s="10" t="str">
        <x:v>Число измерений</x:v>
      </x:c>
      <x:c r="B8" s="10" t="n">
        <x:v>300</x:v>
      </x:c>
      <x:c r="C8" s="13"/>
      <x:c r="D8" s="10" t="str">
        <x:v>Коэф. вариации</x:v>
      </x:c>
      <x:c r="E8" s="11" t="n">
        <x:f>'Статистика'!H10</x:f>
        <x:v>2.8167738155279216</x:v>
      </x:c>
      <x:c r="F8" s="13"/>
      <x:c r="G8" s="13"/>
      <x:c r="H8" s="13"/>
    </x:row>
    <x:row r="9">
      <x:c r="A9" s="10" t="str">
        <x:v>Аппроксимирующий закон</x:v>
      </x:c>
      <x:c r="B9" s="10" t="str">
        <x:v>H2, гиперэкспоненциальный</x:v>
      </x:c>
      <x:c r="C9" s="13"/>
      <x:c r="D9" s="10" t="str">
        <x:v>ДИ 95 %</x:v>
      </x:c>
      <x:c r="E9" s="10" t="str">
        <x:f>"±"&amp;TEXT('Статистика'!L10,"0.000")</x:f>
        <x:v>±2.557</x:v>
      </x:c>
      <x:c r="F9" s="13"/>
      <x:c r="G9" s="13"/>
      <x:c r="H9" s="13"/>
    </x:row>
    <x:row r="10">
      <x:c r="A10" s="10" t="str">
        <x:v>Воспроизводимость</x:v>
      </x:c>
      <x:c r="B10" s="10" t="str">
        <x:v>LCG seed 8141</x:v>
      </x:c>
      <x:c r="C10" s="13"/>
      <x:c r="D10" s="10" t="str">
        <x:v>Макс. |автокорреляция|</x:v>
      </x:c>
      <x:c r="E10" s="23" t="n">
        <x:f>MAX(MAX('Автокорреляция'!B5:B14),-MIN('Автокорреляция'!B5:B14))</x:f>
        <x:v>0.13536727534291312</x:v>
      </x:c>
      <x:c r="F10" s="13"/>
      <x:c r="G10" s="13"/>
      <x:c r="H10" s="13"/>
    </x:row>
    <x:row r="11">
      <x:c r="A11" s="13"/>
      <x:c r="B11" s="13"/>
      <x:c r="C11" s="13"/>
      <x:c r="D11" s="10" t="str">
        <x:v>Корреляция исх./ген.</x:v>
      </x:c>
      <x:c r="E11" s="23" t="n">
        <x:f>'Автокорреляция'!B17</x:f>
        <x:v>-0.036073946962238944</x:v>
      </x:c>
      <x:c r="F11" s="13"/>
      <x:c r="G11" s="13"/>
      <x:c r="H11" s="13"/>
    </x:row>
    <x:row r="12">
      <x:c r="A12" s="13"/>
      <x:c r="B12" s="13"/>
      <x:c r="C12" s="13"/>
      <x:c r="D12" s="13"/>
      <x:c r="E12" s="13"/>
      <x:c r="F12" s="13"/>
      <x:c r="G12" s="13"/>
      <x:c r="H12" s="13"/>
    </x:row>
    <x:row r="13">
      <x:c r="A13" s="21" t="str">
        <x:v>Основные выводы</x:v>
      </x:c>
      <x:c r="B13" s="13"/>
      <x:c r="C13" s="13"/>
      <x:c r="D13" s="13"/>
      <x:c r="E13" s="13"/>
      <x:c r="F13" s="13"/>
      <x:c r="G13" s="13"/>
      <x:c r="H13" s="13"/>
    </x:row>
    <x:row r="14" ht="44" customHeight="1">
      <x:c r="A14" s="26" t="str">
        <x:v>1. Совместная проверка 10 лагов: Q=11,646; p=0,309. Значимая серийная корреляция не обнаружена.</x:v>
      </x:c>
      <x:c r="B14" s="13"/>
      <x:c r="C14" s="13"/>
      <x:c r="D14" s="13"/>
      <x:c r="E14" s="13"/>
      <x:c r="F14" s="13"/>
      <x:c r="G14" s="13"/>
      <x:c r="H14" s="13"/>
    </x:row>
    <x:row r="15" ht="44" customHeight="1">
      <x:c r="A15" s="26" t="str">
        <x:v>2. При n=300 коэффициент вариации превышает 1, поэтому для аппроксимации выбрано двухфазное гиперэкспоненциальное распределение H2.</x:v>
      </x:c>
      <x:c r="B15" s="13"/>
      <x:c r="C15" s="13"/>
      <x:c r="D15" s="13"/>
      <x:c r="E15" s="13"/>
      <x:c r="F15" s="13"/>
      <x:c r="G15" s="13"/>
      <x:c r="H15" s="13"/>
    </x:row>
    <x:row r="16" ht="44" customHeight="1">
      <x:c r="A16" s="26" t="str">
        <x:v>3. Seed 8141. При n=300 отклонения: среднее 0.0483%, дисперсия 0.7153%.</x:v>
      </x:c>
      <x:c r="B16" s="13"/>
      <x:c r="C16" s="13"/>
      <x:c r="D16" s="13"/>
      <x:c r="E16" s="13"/>
      <x:c r="F16" s="13"/>
      <x:c r="G16" s="13"/>
      <x:c r="H16" s="13"/>
    </x:row>
    <x:row r="17" ht="44" customHeight="1">
      <x:c r="A17" s="26" t="str">
        <x:v>4. Исходный и сгенерированный ряды не имеют существенной линейной связи, что ожидаемо для независимой генерации.</x:v>
      </x:c>
      <x:c r="B17" s="13"/>
      <x:c r="C17" s="13"/>
      <x:c r="D17" s="13"/>
      <x:c r="E17" s="13"/>
      <x:c r="F17" s="13"/>
      <x:c r="G17" s="13"/>
      <x:c r="H17" s="13"/>
    </x:row>
    <x:row r="18">
      <x:c r="A18" s="13"/>
      <x:c r="B18" s="13"/>
      <x:c r="C18" s="13"/>
      <x:c r="D18" s="13"/>
      <x:c r="E18" s="13"/>
      <x:c r="F18" s="13"/>
      <x:c r="G18" s="13"/>
      <x:c r="H18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</x:row>
    <x:row r="2">
      <x:c r="A2" s="14" t="str">
        <x:v>Числовые характеристики варианта 16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</x:row>
    <x:row r="4" ht="44" customHeight="1">
      <x:c r="A4" s="7" t="str">
        <x:v>n</x:v>
      </x:c>
      <x:c r="B4" s="7" t="str">
        <x:v>Мат. ожидание</x:v>
      </x:c>
      <x:c r="C4" s="7" t="str">
        <x:v>Откл. от n=300, %</x:v>
      </x:c>
      <x:c r="D4" s="7" t="str">
        <x:v>Дисперсия</x:v>
      </x:c>
      <x:c r="E4" s="7" t="str">
        <x:v>Откл., %</x:v>
      </x:c>
      <x:c r="F4" s="7" t="str">
        <x:v>СКО</x:v>
      </x:c>
      <x:c r="G4" s="7" t="str">
        <x:v>Откл., %</x:v>
      </x:c>
      <x:c r="H4" s="7" t="str">
        <x:v>Коэф. вариации</x:v>
      </x:c>
      <x:c r="I4" s="7" t="str">
        <x:v>Откл., %</x:v>
      </x:c>
      <x:c r="J4" s="7" t="str">
        <x:v>ДИ 0,90 ±</x:v>
      </x:c>
      <x:c r="K4" s="7" t="str">
        <x:v>Откл., %</x:v>
      </x:c>
      <x:c r="L4" s="7" t="str">
        <x:v>ДИ 0,95 ±</x:v>
      </x:c>
      <x:c r="M4" s="7" t="str">
        <x:v>Откл., %</x:v>
      </x:c>
      <x:c r="N4" s="7" t="str">
        <x:v>ДИ 0,99 ±</x:v>
      </x:c>
      <x:c r="O4" s="7" t="str">
        <x:v>Откл., %</x:v>
      </x:c>
    </x:row>
    <x:row r="5">
      <x:c r="A5" s="10" t="n">
        <x:v>10</x:v>
      </x:c>
      <x:c r="B5" s="11" t="n">
        <x:f>AVERAGE('Исходные данные'!$B$5:$B$14)</x:f>
        <x:v>4.058322659132534</x:v>
      </x:c>
      <x:c r="C5" s="18" t="n">
        <x:f>ABS(B5-$B$10)/$B$10</x:f>
        <x:v>0.49402384359898904</x:v>
      </x:c>
      <x:c r="D5" s="11" t="n">
        <x:f>_xlfn.VAR.S('Исходные данные'!$B$5:$B$14)</x:f>
        <x:v>14.326152882768278</x:v>
      </x:c>
      <x:c r="E5" s="18" t="n">
        <x:f>ABS(D5-$D$10)/$D$10</x:f>
        <x:v>0.9719332200852705</x:v>
      </x:c>
      <x:c r="F5" s="11" t="n">
        <x:f>_xlfn.STDEV.S('Исходные данные'!$B$5:$B$14)</x:f>
        <x:v>3.7849904732731203</x:v>
      </x:c>
      <x:c r="G5" s="18" t="n">
        <x:f>ABS(F5-$F$10)/$F$10</x:f>
        <x:v>0.8324685703674396</x:v>
      </x:c>
      <x:c r="H5" s="11" t="n">
        <x:f>F5/B5</x:f>
        <x:v>0.9326489762354583</x:v>
      </x:c>
      <x:c r="I5" s="18" t="n">
        <x:f>ABS(H5-$H$10)/$H$10</x:f>
        <x:v>0.6688946158565946</x:v>
      </x:c>
      <x:c r="J5" s="11" t="n">
        <x:f>1.643*F5/SQRT(A5)</x:f>
        <x:v>1.966538051328678</x:v>
      </x:c>
      <x:c r="K5" s="18" t="n">
        <x:f>ABS(J5-$J$10)/$J$10</x:f>
        <x:v>0.0823925689915719</x:v>
      </x:c>
      <x:c r="L5" s="11" t="n">
        <x:f>1.96*F5/SQRT(A5)</x:f>
        <x:v>2.345961400246019</x:v>
      </x:c>
      <x:c r="M5" s="18" t="n">
        <x:f>ABS(L5-$L$10)/$L$10</x:f>
        <x:v>0.08239256899157184</x:v>
      </x:c>
      <x:c r="N5" s="11" t="n">
        <x:f>2.576*F5/SQRT(A5)</x:f>
        <x:v>3.0832635546090534</x:v>
      </x:c>
      <x:c r="O5" s="18" t="n">
        <x:f>ABS(N5-$N$10)/$N$10</x:f>
        <x:v>0.08239256899157196</x:v>
      </x:c>
    </x:row>
    <x:row r="6">
      <x:c r="A6" s="10" t="n">
        <x:v>20</x:v>
      </x:c>
      <x:c r="B6" s="11" t="n">
        <x:f>AVERAGE('Исходные данные'!$B$5:$B$24)</x:f>
        <x:v>7.908969750629829</x:v>
      </x:c>
      <x:c r="C6" s="18" t="n">
        <x:f>ABS(B6-$B$10)/$B$10</x:f>
        <x:v>0.013939883141051995</x:v>
      </x:c>
      <x:c r="D6" s="11" t="n">
        <x:f>_xlfn.VAR.S('Исходные данные'!$B$5:$B$24)</x:f>
        <x:v>192.93364156410487</x:v>
      </x:c>
      <x:c r="E6" s="18" t="n">
        <x:f>ABS(D6-$D$10)/$D$10</x:f>
        <x:v>0.6220181300424115</x:v>
      </x:c>
      <x:c r="F6" s="11" t="n">
        <x:f>_xlfn.STDEV.S('Исходные данные'!$B$5:$B$24)</x:f>
        <x:v>13.890055491757579</x:v>
      </x:c>
      <x:c r="G6" s="18" t="n">
        <x:f>ABS(F6-$F$10)/$F$10</x:f>
        <x:v>0.38519769847731655</x:v>
      </x:c>
      <x:c r="H6" s="11" t="n">
        <x:f>F6/B6</x:f>
        <x:v>1.756240816403609</x:v>
      </x:c>
      <x:c r="I6" s="18" t="n">
        <x:f>ABS(H6-$H$10)/$H$10</x:f>
        <x:v>0.3765062687241527</x:v>
      </x:c>
      <x:c r="J6" s="11" t="n">
        <x:f>1.643*F6/SQRT(A6)</x:f>
        <x:v>5.103011492180776</x:v>
      </x:c>
      <x:c r="K6" s="18" t="n">
        <x:f>ABS(J6-$J$10)/$J$10</x:f>
        <x:v>1.381119075007344</x:v>
      </x:c>
      <x:c r="L6" s="11" t="n">
        <x:f>1.96*F6/SQRT(A6)</x:f>
        <x:v>6.087585224999587</x:v>
      </x:c>
      <x:c r="M6" s="18" t="n">
        <x:f>ABS(L6-$L$10)/$L$10</x:f>
        <x:v>1.3811190750073443</x:v>
      </x:c>
      <x:c r="N6" s="11" t="n">
        <x:f>2.576*F6/SQRT(A6)</x:f>
        <x:v>8.000826295713741</x:v>
      </x:c>
      <x:c r="O6" s="18" t="n">
        <x:f>ABS(N6-$N$10)/$N$10</x:f>
        <x:v>1.3811190750073439</x:v>
      </x:c>
    </x:row>
    <x:row r="7">
      <x:c r="A7" s="10" t="n">
        <x:v>50</x:v>
      </x:c>
      <x:c r="B7" s="11" t="n">
        <x:f>AVERAGE('Исходные данные'!$B$5:$B$54)</x:f>
        <x:v>7.190473307971007</x:v>
      </x:c>
      <x:c r="C7" s="18" t="n">
        <x:f>ABS(B7-$B$10)/$B$10</x:f>
        <x:v>0.10351927319428582</x:v>
      </x:c>
      <x:c r="D7" s="11" t="n">
        <x:f>_xlfn.VAR.S('Исходные данные'!$B$5:$B$54)</x:f>
        <x:v>135.36628384683382</x:v>
      </x:c>
      <x:c r="E7" s="18" t="n">
        <x:f>ABS(D7-$D$10)/$D$10</x:f>
        <x:v>0.7348000033439718</x:v>
      </x:c>
      <x:c r="F7" s="11" t="n">
        <x:f>_xlfn.STDEV.S('Исходные данные'!$B$5:$B$54)</x:f>
        <x:v>11.634701708545597</x:v>
      </x:c>
      <x:c r="G7" s="18" t="n">
        <x:f>ABS(F7-$F$10)/$F$10</x:f>
        <x:v>0.48502427566337825</x:v>
      </x:c>
      <x:c r="H7" s="11" t="n">
        <x:f>F7/B7</x:f>
        <x:v>1.6180717471891504</x:v>
      </x:c>
      <x:c r="I7" s="18" t="n">
        <x:f>ABS(H7-$H$10)/$H$10</x:f>
        <x:v>0.42555851014047774</x:v>
      </x:c>
      <x:c r="J7" s="11" t="n">
        <x:f>1.643*F7/SQRT(A7)</x:f>
        <x:v>2.703384469749176</x:v>
      </x:c>
      <x:c r="K7" s="18" t="n">
        <x:f>ABS(J7-$J$10)/$J$10</x:f>
        <x:v>0.2614277545448924</x:v>
      </x:c>
      <x:c r="L7" s="11" t="n">
        <x:f>1.96*F7/SQRT(A7)</x:f>
        <x:v>3.2249747782765583</x:v>
      </x:c>
      <x:c r="M7" s="18" t="n">
        <x:f>ABS(L7-$L$10)/$L$10</x:f>
        <x:v>0.26142775454489264</x:v>
      </x:c>
      <x:c r="N7" s="11" t="n">
        <x:f>2.576*F7/SQRT(A7)</x:f>
        <x:v>4.238538280020619</x:v>
      </x:c>
      <x:c r="O7" s="18" t="n">
        <x:f>ABS(N7-$N$10)/$N$10</x:f>
        <x:v>0.2614277545448924</x:v>
      </x:c>
    </x:row>
    <x:row r="8">
      <x:c r="A8" s="10" t="n">
        <x:v>100</x:v>
      </x:c>
      <x:c r="B8" s="11" t="n">
        <x:f>AVERAGE('Исходные данные'!$B$5:$B$104)</x:f>
        <x:v>7.77092794224993</x:v>
      </x:c>
      <x:c r="C8" s="18" t="n">
        <x:f>ABS(B8-$B$10)/$B$10</x:f>
        <x:v>0.03115040815180505</x:v>
      </x:c>
      <x:c r="D8" s="11" t="n">
        <x:f>_xlfn.VAR.S('Исходные данные'!$B$5:$B$104)</x:f>
        <x:v>425.27964646343196</x:v>
      </x:c>
      <x:c r="E8" s="18" t="n">
        <x:f>ABS(D8-$D$10)/$D$10</x:f>
        <x:v>0.16682236067296002</x:v>
      </x:c>
      <x:c r="F8" s="11" t="n">
        <x:f>_xlfn.STDEV.S('Исходные данные'!$B$5:$B$104)</x:f>
        <x:v>20.622309435740508</x:v>
      </x:c>
      <x:c r="G8" s="18" t="n">
        <x:f>ABS(F8-$F$10)/$F$10</x:f>
        <x:v>0.08721435192755136</x:v>
      </x:c>
      <x:c r="H8" s="11" t="n">
        <x:f>F8/B8</x:f>
        <x:v>2.653776947746307</x:v>
      </x:c>
      <x:c r="I8" s="18" t="n">
        <x:f>ABS(H8-$H$10)/$H$10</x:f>
        <x:v>0.05786650915422037</x:v>
      </x:c>
      <x:c r="J8" s="11" t="n">
        <x:f>1.643*F8/SQRT(A8)</x:f>
        <x:v>3.3882454402921653</x:v>
      </x:c>
      <x:c r="K8" s="18" t="n">
        <x:f>ABS(J8-$J$10)/$J$10</x:f>
        <x:v>0.5809911188811658</x:v>
      </x:c>
      <x:c r="L8" s="11" t="n">
        <x:f>1.96*F8/SQRT(A8)</x:f>
        <x:v>4.04197264940514</x:v>
      </x:c>
      <x:c r="M8" s="18" t="n">
        <x:f>ABS(L8-$L$10)/$L$10</x:f>
        <x:v>0.580991118881166</x:v>
      </x:c>
      <x:c r="N8" s="11" t="n">
        <x:f>2.576*F8/SQRT(A8)</x:f>
        <x:v>5.312306910646755</x:v>
      </x:c>
      <x:c r="O8" s="18" t="n">
        <x:f>ABS(N8-$N$10)/$N$10</x:f>
        <x:v>0.5809911188811657</x:v>
      </x:c>
    </x:row>
    <x:row r="9">
      <x:c r="A9" s="10" t="n">
        <x:v>200</x:v>
      </x:c>
      <x:c r="B9" s="11" t="n">
        <x:f>AVERAGE('Исходные данные'!$B$5:$B$204)</x:f>
        <x:v>6.866712528674529</x:v>
      </x:c>
      <x:c r="C9" s="18" t="n">
        <x:f>ABS(B9-$B$10)/$B$10</x:f>
        <x:v>0.143884529597246</x:v>
      </x:c>
      <x:c r="D9" s="11" t="n">
        <x:f>_xlfn.VAR.S('Исходные данные'!$B$5:$B$204)</x:f>
        <x:v>287.3934286214492</x:v>
      </x:c>
      <x:c r="E9" s="18" t="n">
        <x:f>ABS(D9-$D$10)/$D$10</x:f>
        <x:v>0.43695923280562526</x:v>
      </x:c>
      <x:c r="F9" s="11" t="n">
        <x:f>_xlfn.STDEV.S('Исходные данные'!$B$5:$B$204)</x:f>
        <x:v>16.952682048025594</x:v>
      </x:c>
      <x:c r="G9" s="18" t="n">
        <x:f>ABS(F9-$F$10)/$F$10</x:f>
        <x:v>0.24963957514113602</x:v>
      </x:c>
      <x:c r="H9" s="11" t="n">
        <x:f>F9/B9</x:f>
        <x:v>2.468820702371524</x:v>
      </x:c>
      <x:c r="I9" s="18" t="n">
        <x:f>ABS(H9-$H$10)/$H$10</x:f>
        <x:v>0.12352895047456408</x:v>
      </x:c>
      <x:c r="J9" s="11" t="n">
        <x:f>1.643*F9/SQRT(A9)</x:f>
        <x:v>1.9695226623458062</x:v>
      </x:c>
      <x:c r="K9" s="18" t="n">
        <x:f>ABS(J9-$J$10)/$J$10</x:f>
        <x:v>0.08099991795889243</x:v>
      </x:c>
      <x:c r="L9" s="11" t="n">
        <x:f>1.96*F9/SQRT(A9)</x:f>
        <x:v>2.3495218613498356</x:v>
      </x:c>
      <x:c r="M9" s="18" t="n">
        <x:f>ABS(L9-$L$10)/$L$10</x:f>
        <x:v>0.08099991795889241</x:v>
      </x:c>
      <x:c r="N9" s="11" t="n">
        <x:f>2.576*F9/SQRT(A9)</x:f>
        <x:v>3.08794301777407</x:v>
      </x:c>
      <x:c r="O9" s="18" t="n">
        <x:f>ABS(N9-$N$10)/$N$10</x:f>
        <x:v>0.08099991795889248</x:v>
      </x:c>
    </x:row>
    <x:row r="10">
      <x:c r="A10" s="10" t="n">
        <x:v>300</x:v>
      </x:c>
      <x:c r="B10" s="11" t="n">
        <x:f>AVERAGE('Исходные данные'!$B$5:$B$304)</x:f>
        <x:v>8.020778465134065</x:v>
      </x:c>
      <x:c r="C10" s="18" t="n">
        <x:f>ABS(B10-$B$10)/$B$10</x:f>
        <x:v>0</x:v>
      </x:c>
      <x:c r="D10" s="11" t="n">
        <x:f>_xlfn.VAR.S('Исходные данные'!$B$5:$B$304)</x:f>
        <x:v>510.43094100188716</x:v>
      </x:c>
      <x:c r="E10" s="18" t="n">
        <x:f>ABS(D10-$D$10)/$D$10</x:f>
        <x:v>0</x:v>
      </x:c>
      <x:c r="F10" s="11" t="n">
        <x:f>_xlfn.STDEV.S('Исходные данные'!$B$5:$B$304)</x:f>
        <x:v>22.592718760739867</x:v>
      </x:c>
      <x:c r="G10" s="18" t="n">
        <x:f>ABS(F10-$F$10)/$F$10</x:f>
        <x:v>0</x:v>
      </x:c>
      <x:c r="H10" s="11" t="n">
        <x:f>F10/B10</x:f>
        <x:v>2.8167738155279216</x:v>
      </x:c>
      <x:c r="I10" s="18" t="n">
        <x:f>ABS(H10-$H$10)/$H$10</x:f>
        <x:v>0</x:v>
      </x:c>
      <x:c r="J10" s="11" t="n">
        <x:f>1.643*F10/SQRT(A10)</x:f>
        <x:v>2.1431147840286133</x:v>
      </x:c>
      <x:c r="K10" s="18" t="n">
        <x:f>ABS(J10-$J$10)/$J$10</x:f>
        <x:v>0</x:v>
      </x:c>
      <x:c r="L10" s="11" t="n">
        <x:f>1.96*F10/SQRT(A10)</x:f>
        <x:v>2.556606802614779</x:v>
      </x:c>
      <x:c r="M10" s="18" t="n">
        <x:f>ABS(L10-$L$10)/$L$10</x:f>
        <x:v>0</x:v>
      </x:c>
      <x:c r="N10" s="11" t="n">
        <x:f>2.576*F10/SQRT(A10)</x:f>
        <x:v>3.3601117977222814</x:v>
      </x:c>
      <x:c r="O10" s="18" t="n">
        <x:f>ABS(N10-$N$10)/$N$10</x:f>
        <x:v>0</x:v>
      </x:c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</x:row>
    <x:row r="12">
      <x:c r="A12" s="7" t="str">
        <x:v>Сравнение n=300</x:v>
      </x:c>
      <x:c r="B12" s="7" t="str">
        <x:v>Мат. ожидание</x:v>
      </x:c>
      <x:c r="C12" s="7" t="str">
        <x:v>Дисперсия</x:v>
      </x:c>
      <x:c r="D12" s="7" t="str">
        <x:v>СКО</x:v>
      </x:c>
      <x:c r="E12" s="7" t="str">
        <x:v>Коэф. вариации</x:v>
      </x:c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</x:row>
    <x:row r="13">
      <x:c r="A13" s="10" t="str">
        <x:v>Исходная</x:v>
      </x:c>
      <x:c r="B13" s="11" t="n">
        <x:f>B10</x:f>
        <x:v>8.020778465134065</x:v>
      </x:c>
      <x:c r="C13" s="11" t="n">
        <x:f>D10</x:f>
        <x:v>510.43094100188716</x:v>
      </x:c>
      <x:c r="D13" s="11" t="n">
        <x:f>F10</x:f>
        <x:v>22.592718760739867</x:v>
      </x:c>
      <x:c r="E13" s="11" t="n">
        <x:f>H10</x:f>
        <x:v>2.8167738155279216</x:v>
      </x:c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</x:row>
    <x:row r="14">
      <x:c r="A14" s="10" t="str">
        <x:v>Сгенерированная</x:v>
      </x:c>
      <x:c r="B14" s="11" t="n">
        <x:f>AVERAGE('Генератор'!$E$12:$E$311)</x:f>
        <x:v>8.016905917620546</x:v>
      </x:c>
      <x:c r="C14" s="11" t="n">
        <x:f>_xlfn.VAR.S('Генератор'!$E$12:$E$311)</x:f>
        <x:v>506.7800127840016</x:v>
      </x:c>
      <x:c r="D14" s="11" t="n">
        <x:f>_xlfn.STDEV.S('Генератор'!$E$12:$E$311)</x:f>
        <x:v>22.511774980751774</x:v>
      </x:c>
      <x:c r="E14" s="11" t="n">
        <x:f>D14/B14</x:f>
        <x:v>2.8080378155957417</x:v>
      </x:c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</x:row>
    <x:row r="16">
      <x:c r="A16" s="7" t="str">
        <x:v>Относительное отклонение</x:v>
      </x:c>
      <x:c r="B16" s="7" t="str">
        <x:v>Мат. ожидание</x:v>
      </x:c>
      <x:c r="C16" s="7" t="str">
        <x:v>Дисперсия</x:v>
      </x:c>
      <x:c r="D16" s="7" t="str">
        <x:v>СКО</x:v>
      </x:c>
      <x:c r="E16" s="7" t="str">
        <x:v>Коэф. вариации</x:v>
      </x:c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</x:row>
    <x:row r="17">
      <x:c r="A17" s="10" t="str">
        <x:v>Сгенерированная от исходной</x:v>
      </x:c>
      <x:c r="B17" s="18" t="n">
        <x:f>ABS(B14-B13)/B13</x:f>
        <x:v>0.00048281442136223745</x:v>
      </x:c>
      <x:c r="C17" s="18" t="n">
        <x:f>ABS(C14-C13)/C13</x:f>
        <x:v>0.007152638926471477</x:v>
      </x:c>
      <x:c r="D17" s="18" t="n">
        <x:f>ABS(D14-D13)/D13</x:f>
        <x:v>0.0035827374671149343</x:v>
      </x:c>
      <x:c r="E17" s="18" t="n">
        <x:f>ABS(E14-E13)/E13</x:f>
        <x:v>0.0031014204562756402</x:v>
      </x:c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</x:row>
    <x:row r="19">
      <x:c r="A19" s="21" t="str">
        <x:v>Характеристики сгенерированной ЧП (закон H2)</x:v>
      </x:c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</x:row>
    <x:row r="20" ht="44" customHeight="1">
      <x:c r="A20" s="7" t="str">
        <x:v>n</x:v>
      </x:c>
      <x:c r="B20" s="7" t="str">
        <x:v>Мат. ожидание</x:v>
      </x:c>
      <x:c r="C20" s="7" t="str">
        <x:v>Откл. от исходной, %</x:v>
      </x:c>
      <x:c r="D20" s="7" t="str">
        <x:v>Дисперсия</x:v>
      </x:c>
      <x:c r="E20" s="7" t="str">
        <x:v>Откл., %</x:v>
      </x:c>
      <x:c r="F20" s="7" t="str">
        <x:v>СКО</x:v>
      </x:c>
      <x:c r="G20" s="7" t="str">
        <x:v>Откл., %</x:v>
      </x:c>
      <x:c r="H20" s="7" t="str">
        <x:v>Коэф. вариации</x:v>
      </x:c>
      <x:c r="I20" s="7" t="str">
        <x:v>Откл., %</x:v>
      </x:c>
      <x:c r="J20" s="7" t="str">
        <x:v>ДИ 0,90 ±</x:v>
      </x:c>
      <x:c r="K20" s="7" t="str">
        <x:v>Откл., %</x:v>
      </x:c>
      <x:c r="L20" s="7" t="str">
        <x:v>ДИ 0,95 ±</x:v>
      </x:c>
      <x:c r="M20" s="7" t="str">
        <x:v>Откл., %</x:v>
      </x:c>
      <x:c r="N20" s="7" t="str">
        <x:v>ДИ 0,99 ±</x:v>
      </x:c>
      <x:c r="O20" s="7" t="str">
        <x:v>Откл., %</x:v>
      </x:c>
    </x:row>
    <x:row r="21">
      <x:c r="A21" s="10" t="n">
        <x:v>10</x:v>
      </x:c>
      <x:c r="B21" s="11" t="n">
        <x:f>AVERAGE('Генератор'!$E$12:$E$21)</x:f>
        <x:v>13.698271589862912</x:v>
      </x:c>
      <x:c r="C21" s="18" t="n">
        <x:f>ABS(B21-B5)/ABS(B5)</x:f>
        <x:v>2.375353006749571</x:v>
      </x:c>
      <x:c r="D21" s="11" t="n">
        <x:f>_xlfn.VAR.S('Генератор'!$E$12:$E$21)</x:f>
        <x:v>721.8828792748014</x:v>
      </x:c>
      <x:c r="E21" s="18" t="n">
        <x:f>ABS(D21-D5)/ABS(D5)</x:f>
        <x:v>49.38916484990842</x:v>
      </x:c>
      <x:c r="F21" s="11" t="n">
        <x:f>_xlfn.STDEV.S('Генератор'!$E$12:$E$21)</x:f>
        <x:v>26.867878205671573</x:v>
      </x:c>
      <x:c r="G21" s="18" t="n">
        <x:f>ABS(F21-F5)/ABS(F5)</x:f>
        <x:v>6.09853258426757</x:v>
      </x:c>
      <x:c r="H21" s="11" t="n">
        <x:f>F21/B21</x:f>
        <x:v>1.9614064467486922</x:v>
      </x:c>
      <x:c r="I21" s="18" t="n">
        <x:f>ABS(H21-H5)/ABS(H5)</x:f>
        <x:v>1.1030489463095834</x:v>
      </x:c>
      <x:c r="J21" s="11" t="n">
        <x:f>1.643*F21/SQRT(A21)</x:f>
        <x:v>13.959534435558671</x:v>
      </x:c>
      <x:c r="K21" s="18" t="n">
        <x:f>ABS(J21-J5)/ABS(J5)</x:f>
        <x:v>6.098532584267569</x:v>
      </x:c>
      <x:c r="L21" s="11" t="n">
        <x:f>1.96*F21/SQRT(A21)</x:f>
        <x:v>16.652883441080338</x:v>
      </x:c>
      <x:c r="M21" s="18" t="n">
        <x:f>ABS(L21-L5)/ABS(L5)</x:f>
        <x:v>6.098532584267569</x:v>
      </x:c>
      <x:c r="N21" s="11" t="n">
        <x:f>2.576*F21/SQRT(A21)</x:f>
        <x:v>21.886646808277014</x:v>
      </x:c>
      <x:c r="O21" s="18" t="n">
        <x:f>ABS(N21-N5)/ABS(N5)</x:f>
        <x:v>6.098532584267568</x:v>
      </x:c>
    </x:row>
    <x:row r="22">
      <x:c r="A22" s="10" t="n">
        <x:v>20</x:v>
      </x:c>
      <x:c r="B22" s="11" t="n">
        <x:f>AVERAGE('Генератор'!$E$12:$E$31)</x:f>
        <x:v>18.066170310667182</x:v>
      </x:c>
      <x:c r="C22" s="18" t="n">
        <x:f>ABS(B22-B6)/ABS(B6)</x:f>
        <x:v>1.284263422455053</x:v>
      </x:c>
      <x:c r="D22" s="11" t="n">
        <x:f>_xlfn.VAR.S('Генератор'!$E$12:$E$31)</x:f>
        <x:v>1567.1920125957301</x:v>
      </x:c>
      <x:c r="E22" s="18" t="n">
        <x:f>ABS(D22-D6)/ABS(D6)</x:f>
        <x:v>7.122958753541222</x:v>
      </x:c>
      <x:c r="F22" s="11" t="n">
        <x:f>_xlfn.STDEV.S('Генератор'!$E$12:$E$31)</x:f>
        <x:v>39.58777605013611</x:v>
      </x:c>
      <x:c r="G22" s="18" t="n">
        <x:f>ABS(F22-F6)/ABS(F6)</x:f>
        <x:v>1.850080481941031</x:v>
      </x:c>
      <x:c r="H22" s="11" t="n">
        <x:f>F22/B22</x:f>
        <x:v>2.1912655183351992</x:v>
      </x:c>
      <x:c r="I22" s="18" t="n">
        <x:f>ABS(H22-H6)/ABS(H6)</x:f>
        <x:v>0.24770219315505046</x:v>
      </x:c>
      <x:c r="J22" s="11" t="n">
        <x:f>1.643*F22/SQRT(A22)</x:f>
        <x:v>14.543993452985205</x:v>
      </x:c>
      <x:c r="K22" s="18" t="n">
        <x:f>ABS(J22-J6)/ABS(J6)</x:f>
        <x:v>1.8500804819410308</x:v>
      </x:c>
      <x:c r="L22" s="11" t="n">
        <x:f>1.96*F22/SQRT(A22)</x:f>
        <x:v>17.35010783192392</x:v>
      </x:c>
      <x:c r="M22" s="18" t="n">
        <x:f>ABS(L22-L6)/ABS(L6)</x:f>
        <x:v>1.850080481941031</x:v>
      </x:c>
      <x:c r="N22" s="11" t="n">
        <x:f>2.576*F22/SQRT(A22)</x:f>
        <x:v>22.8029988648143</x:v>
      </x:c>
      <x:c r="O22" s="18" t="n">
        <x:f>ABS(N22-N6)/ABS(N6)</x:f>
        <x:v>1.8500804819410317</x:v>
      </x:c>
    </x:row>
    <x:row r="23">
      <x:c r="A23" s="10" t="n">
        <x:v>50</x:v>
      </x:c>
      <x:c r="B23" s="11" t="n">
        <x:f>AVERAGE('Генератор'!$E$12:$E$61)</x:f>
        <x:v>11.605093952194471</x:v>
      </x:c>
      <x:c r="C23" s="18" t="n">
        <x:f>ABS(B23-B7)/ABS(B7)</x:f>
        <x:v>0.6139541105492502</x:v>
      </x:c>
      <x:c r="D23" s="11" t="n">
        <x:f>_xlfn.VAR.S('Генератор'!$E$12:$E$61)</x:f>
        <x:v>696.1111097203584</x:v>
      </x:c>
      <x:c r="E23" s="18" t="n">
        <x:f>ABS(D23-D7)/ABS(D7)</x:f>
        <x:v>4.142426089704909</x:v>
      </x:c>
      <x:c r="F23" s="11" t="n">
        <x:f>_xlfn.STDEV.S('Генератор'!$E$12:$E$61)</x:f>
        <x:v>26.38391763405045</x:v>
      </x:c>
      <x:c r="G23" s="18" t="n">
        <x:f>ABS(F23-F7)/ABS(F7)</x:f>
        <x:v>1.2676917977769615</x:v>
      </x:c>
      <x:c r="H23" s="11" t="n">
        <x:f>F23/B23</x:f>
        <x:v>2.2734772973605586</x:v>
      </x:c>
      <x:c r="I23" s="18" t="n">
        <x:f>ABS(H23-H7)/ABS(H7)</x:f>
        <x:v>0.40505345409432714</x:v>
      </x:c>
      <x:c r="J23" s="11" t="n">
        <x:f>1.643*F23/SQRT(A23)</x:f>
        <x:v>6.130442788287827</x:v>
      </x:c>
      <x:c r="K23" s="18" t="n">
        <x:f>ABS(J23-J7)/ABS(J7)</x:f>
        <x:v>1.267691797776962</x:v>
      </x:c>
      <x:c r="L23" s="11" t="n">
        <x:f>1.96*F23/SQRT(A23)</x:f>
        <x:v>7.3132488527353265</x:v>
      </x:c>
      <x:c r="M23" s="18" t="n">
        <x:f>ABS(L23-L7)/ABS(L7)</x:f>
        <x:v>1.2676917977769615</x:v>
      </x:c>
      <x:c r="N23" s="11" t="n">
        <x:f>2.576*F23/SQRT(A23)</x:f>
        <x:v>9.611698492166429</x:v>
      </x:c>
      <x:c r="O23" s="18" t="n">
        <x:f>ABS(N23-N7)/ABS(N7)</x:f>
        <x:v>1.2676917977769617</x:v>
      </x:c>
    </x:row>
    <x:row r="24">
      <x:c r="A24" s="10" t="n">
        <x:v>100</x:v>
      </x:c>
      <x:c r="B24" s="11" t="n">
        <x:f>AVERAGE('Генератор'!$E$12:$E$111)</x:f>
        <x:v>9.781985852043267</x:v>
      </x:c>
      <x:c r="C24" s="18" t="n">
        <x:f>ABS(B24-B8)/ABS(B8)</x:f>
        <x:v>0.2587925051858185</x:v>
      </x:c>
      <x:c r="D24" s="11" t="n">
        <x:f>_xlfn.VAR.S('Генератор'!$E$12:$E$111)</x:f>
        <x:v>566.8433393446313</x:v>
      </x:c>
      <x:c r="E24" s="18" t="n">
        <x:f>ABS(D24-D8)/ABS(D8)</x:f>
        <x:v>0.3328720150574425</x:v>
      </x:c>
      <x:c r="F24" s="11" t="n">
        <x:f>_xlfn.STDEV.S('Генератор'!$E$12:$E$111)</x:f>
        <x:v>23.808472007767136</x:v>
      </x:c>
      <x:c r="G24" s="18" t="n">
        <x:f>ABS(F24-F8)/ABS(F8)</x:f>
        <x:v>0.15450076442479777</x:v>
      </x:c>
      <x:c r="H24" s="11" t="n">
        <x:f>F24/B24</x:f>
        <x:v>2.4339098796379885</x:v>
      </x:c>
      <x:c r="I24" s="18" t="n">
        <x:f>ABS(H24-H8)/ABS(H8)</x:f>
        <x:v>0.08285062099700513</x:v>
      </x:c>
      <x:c r="J24" s="11" t="n">
        <x:f>1.643*F24/SQRT(A24)</x:f>
        <x:v>3.9117319508761406</x:v>
      </x:c>
      <x:c r="K24" s="18" t="n">
        <x:f>ABS(J24-J8)/ABS(J8)</x:f>
        <x:v>0.15450076442479782</x:v>
      </x:c>
      <x:c r="L24" s="11" t="n">
        <x:f>1.96*F24/SQRT(A24)</x:f>
        <x:v>4.666460513522359</x:v>
      </x:c>
      <x:c r="M24" s="18" t="n">
        <x:f>ABS(L24-L8)/ABS(L8)</x:f>
        <x:v>0.15450076442479768</x:v>
      </x:c>
      <x:c r="N24" s="11" t="n">
        <x:f>2.576*F24/SQRT(A24)</x:f>
        <x:v>6.1330623892008145</x:v>
      </x:c>
      <x:c r="O24" s="18" t="n">
        <x:f>ABS(N24-N8)/ABS(N8)</x:f>
        <x:v>0.1545007644247978</x:v>
      </x:c>
    </x:row>
    <x:row r="25">
      <x:c r="A25" s="10" t="n">
        <x:v>200</x:v>
      </x:c>
      <x:c r="B25" s="11" t="n">
        <x:f>AVERAGE('Генератор'!$E$12:$E$211)</x:f>
        <x:v>7.330654390757552</x:v>
      </x:c>
      <x:c r="C25" s="18" t="n">
        <x:f>ABS(B25-B9)/ABS(B9)</x:f>
        <x:v>0.06756389759228451</x:v>
      </x:c>
      <x:c r="D25" s="11" t="n">
        <x:f>_xlfn.VAR.S('Генератор'!$E$12:$E$211)</x:f>
        <x:v>307.8747698556753</x:v>
      </x:c>
      <x:c r="E25" s="18" t="n">
        <x:f>ABS(D25-D9)/ABS(D9)</x:f>
        <x:v>0.07126586481976903</x:v>
      </x:c>
      <x:c r="F25" s="11" t="n">
        <x:f>_xlfn.STDEV.S('Генератор'!$E$12:$E$211)</x:f>
        <x:v>17.54636058718945</x:v>
      </x:c>
      <x:c r="G25" s="18" t="n">
        <x:f>ABS(F25-F9)/ABS(F9)</x:f>
        <x:v>0.03501974127055609</x:v>
      </x:c>
      <x:c r="H25" s="11" t="n">
        <x:f>F25/B25</x:f>
        <x:v>2.393559926834336</x:v>
      </x:c>
      <x:c r="I25" s="18" t="n">
        <x:f>ABS(H25-H9)/ABS(H9)</x:f>
        <x:v>0.030484504389036098</x:v>
      </x:c>
      <x:c r="J25" s="11" t="n">
        <x:f>1.643*F25/SQRT(A25)</x:f>
        <x:v>2.0384948364076534</x:v>
      </x:c>
      <x:c r="K25" s="18" t="n">
        <x:f>ABS(J25-J9)/ABS(J9)</x:f>
        <x:v>0.035019741270556216</x:v>
      </x:c>
      <x:c r="L25" s="11" t="n">
        <x:f>1.96*F25/SQRT(A25)</x:f>
        <x:v>2.431801509043822</x:v>
      </x:c>
      <x:c r="M25" s="18" t="n">
        <x:f>ABS(L25-L9)/ABS(L9)</x:f>
        <x:v>0.035019741270555925</x:v>
      </x:c>
      <x:c r="N25" s="11" t="n">
        <x:f>2.576*F25/SQRT(A25)</x:f>
        <x:v>3.196081983314738</x:v>
      </x:c>
      <x:c r="O25" s="18" t="n">
        <x:f>ABS(N25-N9)/ABS(N9)</x:f>
        <x:v>0.035019741270556105</x:v>
      </x:c>
    </x:row>
    <x:row r="26">
      <x:c r="A26" s="10" t="n">
        <x:v>300</x:v>
      </x:c>
      <x:c r="B26" s="11" t="n">
        <x:f>AVERAGE('Генератор'!$E$12:$E$311)</x:f>
        <x:v>8.016905917620546</x:v>
      </x:c>
      <x:c r="C26" s="18" t="n">
        <x:f>ABS(B26-B10)/ABS(B10)</x:f>
        <x:v>0.00048281442136223745</x:v>
      </x:c>
      <x:c r="D26" s="11" t="n">
        <x:f>_xlfn.VAR.S('Генератор'!$E$12:$E$311)</x:f>
        <x:v>506.7800127840016</x:v>
      </x:c>
      <x:c r="E26" s="18" t="n">
        <x:f>ABS(D26-D10)/ABS(D10)</x:f>
        <x:v>0.007152638926471477</x:v>
      </x:c>
      <x:c r="F26" s="11" t="n">
        <x:f>_xlfn.STDEV.S('Генератор'!$E$12:$E$311)</x:f>
        <x:v>22.511774980751774</x:v>
      </x:c>
      <x:c r="G26" s="18" t="n">
        <x:f>ABS(F26-F10)/ABS(F10)</x:f>
        <x:v>0.0035827374671149343</x:v>
      </x:c>
      <x:c r="H26" s="11" t="n">
        <x:f>F26/B26</x:f>
        <x:v>2.8080378155957417</x:v>
      </x:c>
      <x:c r="I26" s="18" t="n">
        <x:f>ABS(H26-H10)/ABS(H10)</x:f>
        <x:v>0.0031014204562756402</x:v>
      </x:c>
      <x:c r="J26" s="11" t="n">
        <x:f>1.643*F26/SQRT(A26)</x:f>
        <x:v>2.1354365663955464</x:v>
      </x:c>
      <x:c r="K26" s="18" t="n">
        <x:f>ABS(J26-J10)/ABS(J10)</x:f>
        <x:v>0.003582737467114809</x:v>
      </x:c>
      <x:c r="L26" s="11" t="n">
        <x:f>1.96*F26/SQRT(A26)</x:f>
        <x:v>2.54744715163437</x:v>
      </x:c>
      <x:c r="M26" s="18" t="n">
        <x:f>ABS(L26-L10)/ABS(L10)</x:f>
        <x:v>0.0035827374671149994</x:v>
      </x:c>
      <x:c r="N26" s="11" t="n">
        <x:f>2.576*F26/SQRT(A26)</x:f>
        <x:v>3.348073399290887</x:v>
      </x:c>
      <x:c r="O26" s="18" t="n">
        <x:f>ABS(N26-N10)/ABS(N10)</x:f>
        <x:v>0.0035827374671149347</x:v>
      </x:c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</x:row>
    <x:row r="28">
      <x:c r="A28" s="15" t="str">
        <x:v>Примечание</x:v>
      </x:c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</x:row>
    <x:row r="29">
      <x:c r="A29" s="22" t="str">
        <x:v>Строки «Откл.» для исходной ЧП рассчитаны относительно n=300; для сгенерированной ЧП — относительно исходной ЧП того же объема.</x:v>
      </x:c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7" max="7" width="22" hidden="0" customWidth="1"/>
    <x:col min="8" max="8" width="18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</x:row>
    <x:row r="2">
      <x:c r="A2" s="14" t="str">
        <x:v>Гистограмма и аппроксимация распределения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4">
      <x:c r="A4" s="7" t="str">
        <x:v>Центр интервала</x:v>
      </x:c>
      <x:c r="B4" s="7" t="str">
        <x:v>Исходная ЧП</x:v>
      </x:c>
      <x:c r="C4" s="7" t="str">
        <x:v>Сгенерированная ЧП</x:v>
      </x:c>
      <x:c r="D4" s="7" t="str">
        <x:v>Теоретическая частота H2</x:v>
      </x:c>
      <x:c r="E4" s="7" t="str">
        <x:v>Правая граница</x:v>
      </x:c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</x:row>
    <x:row r="5">
      <x:c r="A5" s="24" t="n">
        <x:v>9.364597996095716</x:v>
      </x:c>
      <x:c r="B5" s="10" t="n">
        <x:v>276</x:v>
      </x:c>
      <x:c r="C5" s="10" t="n">
        <x:f>COUNTIFS('Генератор'!$E$12:$E$311,"&gt;="&amp;0,'Генератор'!$E$12:$E$311,"&lt;"&amp;E5)</x:f>
        <x:v>283</x:v>
      </x:c>
      <x:c r="D5" s="24" t="n">
        <x:f>300*($B$23*(EXP(-0/$B$24)-EXP(-E5/$B$24))+(1-$B$23)*(EXP(-0/$B$25)-EXP(-E5/$B$25)))</x:f>
        <x:v>282.9554416014811</x:v>
      </x:c>
      <x:c r="E5" s="24" t="n">
        <x:v>18.729195992191432</x:v>
      </x:c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</x:row>
    <x:row r="6">
      <x:c r="A6" s="24" t="n">
        <x:v>28.093793988287146</x:v>
      </x:c>
      <x:c r="B6" s="10" t="n">
        <x:v>12</x:v>
      </x:c>
      <x:c r="C6" s="10" t="n">
        <x:f>COUNTIFS('Генератор'!$E$12:$E$311,"&gt;="&amp;E5,'Генератор'!$E$12:$E$311,"&lt;"&amp;E6)</x:f>
        <x:v>8</x:v>
      </x:c>
      <x:c r="D6" s="24" t="n">
        <x:f>300*($B$23*(EXP(-E5/$B$24)-EXP(-E6/$B$24))+(1-$B$23)*(EXP(-E5/$B$25)-EXP(-E6/$B$25)))</x:f>
        <x:v>6.746990988514499</x:v>
      </x:c>
      <x:c r="E6" s="24" t="n">
        <x:v>37.458391984382864</x:v>
      </x:c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</x:row>
    <x:row r="7">
      <x:c r="A7" s="24" t="n">
        <x:v>46.82298998047858</x:v>
      </x:c>
      <x:c r="B7" s="10" t="n">
        <x:v>4</x:v>
      </x:c>
      <x:c r="C7" s="10" t="n">
        <x:f>COUNTIFS('Генератор'!$E$12:$E$311,"&gt;="&amp;E6,'Генератор'!$E$12:$E$311,"&lt;"&amp;E7)</x:f>
        <x:v>2</x:v>
      </x:c>
      <x:c r="D7" s="24" t="n">
        <x:f>300*($B$23*(EXP(-E6/$B$24)-EXP(-E7/$B$24))+(1-$B$23)*(EXP(-E6/$B$25)-EXP(-E7/$B$25)))</x:f>
        <x:v>2.53754657067952</x:v>
      </x:c>
      <x:c r="E7" s="24" t="n">
        <x:v>56.18758797657429</x:v>
      </x:c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</x:row>
    <x:row r="8">
      <x:c r="A8" s="24" t="n">
        <x:v>65.55218597267</x:v>
      </x:c>
      <x:c r="B8" s="10" t="n">
        <x:v>4</x:v>
      </x:c>
      <x:c r="C8" s="10" t="n">
        <x:f>COUNTIFS('Генератор'!$E$12:$E$311,"&gt;="&amp;E7,'Генератор'!$E$12:$E$311,"&lt;"&amp;E8)</x:f>
        <x:v>1</x:v>
      </x:c>
      <x:c r="D8" s="24" t="n">
        <x:f>300*($B$23*(EXP(-E7/$B$24)-EXP(-E8/$B$24))+(1-$B$23)*(EXP(-E7/$B$25)-EXP(-E8/$B$25)))</x:f>
        <x:v>1.888373800485436</x:v>
      </x:c>
      <x:c r="E8" s="24" t="n">
        <x:v>74.91678396876573</x:v>
      </x:c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</x:row>
    <x:row r="9">
      <x:c r="A9" s="24" t="n">
        <x:v>84.28138196486145</x:v>
      </x:c>
      <x:c r="B9" s="10" t="n">
        <x:v>1</x:v>
      </x:c>
      <x:c r="C9" s="10" t="n">
        <x:f>COUNTIFS('Генератор'!$E$12:$E$311,"&gt;="&amp;E8,'Генератор'!$E$12:$E$311,"&lt;"&amp;E9)</x:f>
        <x:v>2</x:v>
      </x:c>
      <x:c r="D9" s="24" t="n">
        <x:f>300*($B$23*(EXP(-E8/$B$24)-EXP(-E9/$B$24))+(1-$B$23)*(EXP(-E8/$B$25)-EXP(-E9/$B$25)))</x:f>
        <x:v>1.4285479053345354</x:v>
      </x:c>
      <x:c r="E9" s="24" t="n">
        <x:v>93.64597996095716</x:v>
      </x:c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</x:row>
    <x:row r="10">
      <x:c r="A10" s="24" t="n">
        <x:v>103.01057795705287</x:v>
      </x:c>
      <x:c r="B10" s="10" t="n">
        <x:v>1</x:v>
      </x:c>
      <x:c r="C10" s="10" t="n">
        <x:f>COUNTIFS('Генератор'!$E$12:$E$311,"&gt;="&amp;E9,'Генератор'!$E$12:$E$311,"&lt;"&amp;E10)</x:f>
        <x:v>1</x:v>
      </x:c>
      <x:c r="D10" s="24" t="n">
        <x:f>300*($B$23*(EXP(-E9/$B$24)-EXP(-E10/$B$24))+(1-$B$23)*(EXP(-E9/$B$25)-EXP(-E10/$B$25)))</x:f>
        <x:v>1.0809843198092142</x:v>
      </x:c>
      <x:c r="E10" s="24" t="n">
        <x:v>112.37517595314858</x:v>
      </x:c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</x:row>
    <x:row r="11">
      <x:c r="A11" s="24" t="n">
        <x:v>121.73977394924431</x:v>
      </x:c>
      <x:c r="B11" s="10" t="n">
        <x:v>0</x:v>
      </x:c>
      <x:c r="C11" s="10" t="n">
        <x:f>COUNTIFS('Генератор'!$E$12:$E$311,"&gt;="&amp;E10,'Генератор'!$E$12:$E$311,"&lt;"&amp;E11)</x:f>
        <x:v>0</x:v>
      </x:c>
      <x:c r="D11" s="24" t="n">
        <x:f>300*($B$23*(EXP(-E10/$B$24)-EXP(-E11/$B$24))+(1-$B$23)*(EXP(-E10/$B$25)-EXP(-E11/$B$25)))</x:f>
        <x:v>0.8179860686380246</x:v>
      </x:c>
      <x:c r="E11" s="24" t="n">
        <x:v>131.10437194534003</x:v>
      </x:c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</x:row>
    <x:row r="12">
      <x:c r="A12" s="24" t="n">
        <x:v>140.46896994143574</x:v>
      </x:c>
      <x:c r="B12" s="10" t="n">
        <x:v>0</x:v>
      </x:c>
      <x:c r="C12" s="10" t="n">
        <x:f>COUNTIFS('Генератор'!$E$12:$E$311,"&gt;="&amp;E11,'Генератор'!$E$12:$E$311,"&lt;"&amp;E12)</x:f>
        <x:v>1</x:v>
      </x:c>
      <x:c r="D12" s="24" t="n">
        <x:f>300*($B$23*(EXP(-E11/$B$24)-EXP(-E12/$B$24))+(1-$B$23)*(EXP(-E11/$B$25)-EXP(-E12/$B$25)))</x:f>
        <x:v>0.6189740635586023</x:v>
      </x:c>
      <x:c r="E12" s="24" t="n">
        <x:v>149.83356793753146</x:v>
      </x:c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</x:row>
    <x:row r="13">
      <x:c r="A13" s="24" t="n">
        <x:v>159.19816593362717</x:v>
      </x:c>
      <x:c r="B13" s="10" t="n">
        <x:v>0</x:v>
      </x:c>
      <x:c r="C13" s="10" t="n">
        <x:f>COUNTIFS('Генератор'!$E$12:$E$311,"&gt;="&amp;E12,'Генератор'!$E$12:$E$311,"&lt;"&amp;E13)</x:f>
        <x:v>1</x:v>
      </x:c>
      <x:c r="D13" s="24" t="n">
        <x:f>300*($B$23*(EXP(-E12/$B$24)-EXP(-E13/$B$24))+(1-$B$23)*(EXP(-E12/$B$25)-EXP(-E13/$B$25)))</x:f>
        <x:v>0.4683807053725127</x:v>
      </x:c>
      <x:c r="E13" s="24" t="n">
        <x:v>168.56276392972288</x:v>
      </x:c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</x:row>
    <x:row r="14">
      <x:c r="A14" s="24" t="n">
        <x:v>177.92736192581862</x:v>
      </x:c>
      <x:c r="B14" s="10" t="n">
        <x:v>1</x:v>
      </x:c>
      <x:c r="C14" s="10" t="n">
        <x:f>COUNTIFS('Генератор'!$E$12:$E$311,"&gt;="&amp;E13,'Генератор'!$E$12:$E$311,"&lt;"&amp;E14)</x:f>
        <x:v>0</x:v>
      </x:c>
      <x:c r="D14" s="24" t="n">
        <x:f>300*($B$23*(EXP(-E13/$B$24)-EXP(-E14/$B$24))+(1-$B$23)*(EXP(-E13/$B$25)-EXP(-E14/$B$25)))</x:f>
        <x:v>0.3544259736963097</x:v>
      </x:c>
      <x:c r="E14" s="24" t="n">
        <x:v>187.29195992191433</x:v>
      </x:c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</x:row>
    <x:row r="15">
      <x:c r="A15" s="24" t="n">
        <x:v>196.65655791801004</x:v>
      </x:c>
      <x:c r="B15" s="10" t="n">
        <x:v>0</x:v>
      </x:c>
      <x:c r="C15" s="10" t="n">
        <x:f>COUNTIFS('Генератор'!$E$12:$E$311,"&gt;="&amp;E14,'Генератор'!$E$12:$E$311,"&lt;"&amp;E15)</x:f>
        <x:v>0</x:v>
      </x:c>
      <x:c r="D15" s="24" t="n">
        <x:f>300*($B$23*(EXP(-E14/$B$24)-EXP(-E15/$B$24))+(1-$B$23)*(EXP(-E14/$B$25)-EXP(-E15/$B$25)))</x:f>
        <x:v>0.2681958701324191</x:v>
      </x:c>
      <x:c r="E15" s="24" t="n">
        <x:v>206.02115591410575</x:v>
      </x:c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</x:row>
    <x:row r="16">
      <x:c r="A16" s="24" t="n">
        <x:v>215.38575391020146</x:v>
      </x:c>
      <x:c r="B16" s="10" t="n">
        <x:v>0</x:v>
      </x:c>
      <x:c r="C16" s="10" t="n">
        <x:f>COUNTIFS('Генератор'!$E$12:$E$311,"&gt;="&amp;E15,'Генератор'!$E$12:$E$311,"&lt;"&amp;E16)</x:f>
        <x:v>0</x:v>
      </x:c>
      <x:c r="D16" s="24" t="n">
        <x:f>300*($B$23*(EXP(-E15/$B$24)-EXP(-E16/$B$24))+(1-$B$23)*(EXP(-E15/$B$25)-EXP(-E16/$B$25)))</x:f>
        <x:v>0.2029451284451238</x:v>
      </x:c>
      <x:c r="E16" s="24" t="n">
        <x:v>224.75035190629717</x:v>
      </x:c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</x:row>
    <x:row r="17">
      <x:c r="A17" s="24" t="n">
        <x:v>234.11494990239288</x:v>
      </x:c>
      <x:c r="B17" s="10" t="n">
        <x:v>0</x:v>
      </x:c>
      <x:c r="C17" s="10" t="n">
        <x:f>COUNTIFS('Генератор'!$E$12:$E$311,"&gt;="&amp;E16,'Генератор'!$E$12:$E$311,"&lt;"&amp;E17)</x:f>
        <x:v>0</x:v>
      </x:c>
      <x:c r="D17" s="24" t="n">
        <x:f>300*($B$23*(EXP(-E16/$B$24)-EXP(-E17/$B$24))+(1-$B$23)*(EXP(-E16/$B$25)-EXP(-E17/$B$25)))</x:f>
        <x:v>0.15356957263835702</x:v>
      </x:c>
      <x:c r="E17" s="24" t="n">
        <x:v>243.47954789848862</x:v>
      </x:c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</x:row>
    <x:row r="18">
      <x:c r="A18" s="24" t="n">
        <x:v>252.84414589458436</x:v>
      </x:c>
      <x:c r="B18" s="10" t="n">
        <x:v>0</x:v>
      </x:c>
      <x:c r="C18" s="10" t="n">
        <x:f>COUNTIFS('Генератор'!$E$12:$E$311,"&gt;="&amp;E17,'Генератор'!$E$12:$E$311,"&lt;"&amp;E18)</x:f>
        <x:v>0</x:v>
      </x:c>
      <x:c r="D18" s="24" t="n">
        <x:f>300*($B$23*(EXP(-E17/$B$24)-EXP(-E18/$B$24))+(1-$B$23)*(EXP(-E17/$B$25)-EXP(-E18/$B$25)))</x:f>
        <x:v>0.11620684773768594</x:v>
      </x:c>
      <x:c r="E18" s="24" t="n">
        <x:v>262.20874389068007</x:v>
      </x:c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</x:row>
    <x:row r="19">
      <x:c r="A19" s="24" t="n">
        <x:v>271.5733418867758</x:v>
      </x:c>
      <x:c r="B19" s="10" t="n">
        <x:v>1</x:v>
      </x:c>
      <x:c r="C19" s="10" t="n">
        <x:f>COUNTIFS('Генератор'!$E$12:$E$311,"&gt;="&amp;E18,'Генератор'!$E$12:$E$311,"&lt;="&amp;E19)</x:f>
        <x:v>1</x:v>
      </x:c>
      <x:c r="D19" s="24" t="n">
        <x:f>300*($B$23*(EXP(-E18/$B$24)-EXP(-E19/$B$24))+(1-$B$23)*(EXP(-E18/$B$25)-EXP(-E19/$B$25)))</x:f>
        <x:v>0.08793429081769007</x:v>
      </x:c>
      <x:c r="E19" s="24" t="n">
        <x:v>280.9379398828715</x:v>
      </x:c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</x:row>
    <x:row r="22">
      <x:c r="A22" s="7" t="str">
        <x:v>Параметр H2</x:v>
      </x:c>
      <x:c r="B22" s="7" t="str">
        <x:v>Значение</x:v>
      </x:c>
      <x:c r="C22" s="13"/>
      <x:c r="D22" s="13"/>
      <x:c r="E22" s="13"/>
      <x:c r="F22" s="13"/>
      <x:c r="G22" s="27" t="str">
        <x:v>Параметр модели</x:v>
      </x:c>
      <x:c r="H22" s="27" t="str">
        <x:v>Значение</x:v>
      </x:c>
      <x:c r="I22" s="13"/>
      <x:c r="J22" s="13"/>
      <x:c r="K22" s="13"/>
      <x:c r="L22" s="13"/>
      <x:c r="M22" s="13"/>
      <x:c r="N22" s="13"/>
      <x:c r="O22" s="13"/>
      <x:c r="P22" s="13"/>
    </x:row>
    <x:row r="23">
      <x:c r="A23" s="10" t="str">
        <x:v>q</x:v>
      </x:c>
      <x:c r="B23" s="16" t="n">
        <x:f>(1+SQRT((H26^2-1)/(H26^2+1)))/2</x:f>
        <x:v>0.9403058165037487</x:v>
      </x:c>
      <x:c r="C23" s="13"/>
      <x:c r="D23" s="13"/>
      <x:c r="E23" s="13"/>
      <x:c r="F23" s="13"/>
      <x:c r="G23" s="27" t="str">
        <x:v>α1</x:v>
      </x:c>
      <x:c r="H23" s="28" t="n">
        <x:f>AVERAGE('Исходные данные'!B5:B304)</x:f>
        <x:v>8.020778465134065</x:v>
      </x:c>
      <x:c r="I23" s="13"/>
      <x:c r="J23" s="13"/>
      <x:c r="K23" s="13"/>
      <x:c r="L23" s="13"/>
      <x:c r="M23" s="13"/>
      <x:c r="N23" s="13"/>
      <x:c r="O23" s="13"/>
      <x:c r="P23" s="13"/>
    </x:row>
    <x:row r="24">
      <x:c r="A24" s="10" t="str">
        <x:v>t1</x:v>
      </x:c>
      <x:c r="B24" s="16" t="n">
        <x:f>H23*(1-SQRT((1-B23)*(H26^2-1)/(2*B23)))</x:f>
        <x:v>4.2649839681716415</x:v>
      </x:c>
      <x:c r="C24" s="13"/>
      <x:c r="D24" s="13"/>
      <x:c r="E24" s="13"/>
      <x:c r="F24" s="13"/>
      <x:c r="G24" s="27" t="str">
        <x:v>α2</x:v>
      </x:c>
      <x:c r="H24" s="28" t="n">
        <x:f>SUMSQ('Исходные данные'!B5:B304)/COUNT('Исходные данные'!B5:B304)</x:f>
        <x:v>573.0623917186392</x:v>
      </x:c>
      <x:c r="I24" s="13"/>
      <x:c r="J24" s="13"/>
      <x:c r="K24" s="13"/>
      <x:c r="L24" s="13"/>
      <x:c r="M24" s="13"/>
      <x:c r="N24" s="13"/>
      <x:c r="O24" s="13"/>
      <x:c r="P24" s="13"/>
    </x:row>
    <x:row r="25">
      <x:c r="A25" s="10" t="str">
        <x:v>t2</x:v>
      </x:c>
      <x:c r="B25" s="16" t="n">
        <x:f>H23*(1+SQRT(B23*(H26^2-1)/(2*(1-B23))))</x:f>
        <x:v>67.18224452837813</x:v>
      </x:c>
      <x:c r="C25" s="13"/>
      <x:c r="D25" s="13"/>
      <x:c r="E25" s="13"/>
      <x:c r="F25" s="13"/>
      <x:c r="G25" s="27" t="str">
        <x:v>D*</x:v>
      </x:c>
      <x:c r="H25" s="28" t="n">
        <x:f>H24-H23^2</x:f>
        <x:v>508.7295045318809</x:v>
      </x:c>
      <x:c r="I25" s="13"/>
      <x:c r="J25" s="13"/>
      <x:c r="K25" s="13"/>
      <x:c r="L25" s="13"/>
      <x:c r="M25" s="13"/>
      <x:c r="N25" s="13"/>
      <x:c r="O25" s="13"/>
      <x:c r="P25" s="13"/>
    </x:row>
    <x:row r="26">
      <x:c r="A26" s="10" t="str">
        <x:v>Формула генерации</x:v>
      </x:c>
      <x:c r="B26" s="17" t="str">
        <x:v>U1≤q: -t1·ln(U2); иначе -t2·ln(U2)</x:v>
      </x:c>
      <x:c r="C26" s="13"/>
      <x:c r="D26" s="13"/>
      <x:c r="E26" s="13"/>
      <x:c r="F26" s="13"/>
      <x:c r="G26" s="27" t="str">
        <x:v>ν</x:v>
      </x:c>
      <x:c r="H26" s="28" t="n">
        <x:f>SQRT(H25)/H23</x:f>
        <x:v>2.8120752737822614</x:v>
      </x:c>
      <x:c r="I26" s="13"/>
      <x:c r="J26" s="13"/>
      <x:c r="K26" s="13"/>
      <x:c r="L26" s="13"/>
      <x:c r="M26" s="13"/>
      <x:c r="N26" s="13"/>
      <x:c r="O26" s="13"/>
      <x:c r="P26" s="13"/>
    </x:row>
    <x:row r="27">
      <x:c r="A27" s="10" t="str">
        <x:v>Вывод</x:v>
      </x:c>
      <x:c r="B27" s="17" t="str">
        <x:v>При Cv &gt; 1 выбрано двухфазное гиперэкспоненциальное распределение</x:v>
      </x:c>
      <x:c r="C27" s="13"/>
      <x:c r="D27" s="13"/>
      <x:c r="E27" s="13"/>
      <x:c r="F27" s="13"/>
      <x:c r="G27" s="27" t="str">
        <x:v>Условие q ≥</x:v>
      </x:c>
      <x:c r="H27" s="28" t="n">
        <x:f>(H26^2-1)/(H26^2+1)</x:f>
        <x:v>0.7754768481881311</x:v>
      </x:c>
      <x:c r="I27" s="13"/>
      <x:c r="J27" s="13"/>
      <x:c r="K27" s="13"/>
      <x:c r="L27" s="13"/>
      <x:c r="M27" s="13"/>
      <x:c r="N27" s="13"/>
      <x:c r="O27" s="13"/>
      <x:c r="P27" s="13"/>
    </x:row>
    <x:row r="28">
      <x:c r="A28" s="13"/>
      <x:c r="B28" s="13"/>
      <x:c r="C28" s="13"/>
      <x:c r="D28" s="13"/>
      <x:c r="E28" s="13"/>
      <x:c r="F28" s="13"/>
      <x:c r="G28" s="27" t="str">
        <x:v>Выбор q</x:v>
      </x:c>
      <x:c r="H28" s="27" t="str">
        <x:v>q·t1=(1−q)·t2=α1/2</x:v>
      </x:c>
      <x:c r="I28" s="13"/>
      <x:c r="J28" s="13"/>
      <x:c r="K28" s="13"/>
      <x:c r="L28" s="13"/>
      <x:c r="M28" s="13"/>
      <x:c r="N28" s="13"/>
      <x:c r="O28" s="13"/>
      <x:c r="P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</x:row>
  </x:sheetData>
  <x:pageMargins left="0.7" right="0.7" top="0.75" bottom="0.75" header="0.3" footer="0.3"/>
  <x:drawing xmlns:r="http://schemas.openxmlformats.org/officeDocument/2006/relationships" r:id="R32330039aa1149cb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</x:row>
    <x:row r="2">
      <x:c r="A2" s="14" t="str">
        <x:v>Автокорреляционный анализ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</x:row>
    <x:row r="4">
      <x:c r="A4" s="7" t="str">
        <x:v>Сдвиг</x:v>
      </x:c>
      <x:c r="B4" s="7" t="str">
        <x:v>Исходная ЧП</x:v>
      </x:c>
      <x:c r="C4" s="7" t="str">
        <x:v>Сгенерированная ЧП</x:v>
      </x:c>
      <x:c r="D4" s="7" t="str">
        <x:v>Откл., %</x:v>
      </x:c>
      <x:c r="E4" s="7" t="str">
        <x:v>Граница 95 %</x:v>
      </x:c>
      <x:c r="F4" s="13"/>
      <x:c r="G4" s="13"/>
      <x:c r="H4" s="13"/>
      <x:c r="I4" s="13"/>
      <x:c r="J4" s="13"/>
      <x:c r="K4" s="13"/>
      <x:c r="L4" s="13"/>
      <x:c r="M4" s="13"/>
      <x:c r="N4" s="13"/>
      <x:c r="O4" s="13"/>
    </x:row>
    <x:row r="5">
      <x:c r="A5" s="10" t="n">
        <x:v>1</x:v>
      </x:c>
      <x:c r="B5" s="23" t="n">
        <x:f>CORREL('Исходные данные'!$B$5:$B$303,'Исходные данные'!$B$6:$B$304)</x:f>
        <x:v>-0.04097324594939865</x:v>
      </x:c>
      <x:c r="C5" s="23" t="n">
        <x:f>CORREL('Генератор'!$E$12:$E$310,'Генератор'!$E$13:$E$311)</x:f>
        <x:v>0.019338458815015284</x:v>
      </x:c>
      <x:c r="D5" s="18" t="n">
        <x:f>IF(ABS(B5)&lt;0.000001,"н/д",ABS(C5-B5)/ABS(B5))</x:f>
        <x:v>1.4719777105015792</x:v>
      </x:c>
      <x:c r="E5" s="23" t="n">
        <x:v>0.11316065276116663</x:v>
      </x:c>
      <x:c r="F5" s="13"/>
      <x:c r="G5" s="13"/>
      <x:c r="H5" s="13"/>
      <x:c r="I5" s="13"/>
      <x:c r="J5" s="13"/>
      <x:c r="K5" s="13"/>
      <x:c r="L5" s="13"/>
      <x:c r="M5" s="13"/>
      <x:c r="N5" s="13"/>
      <x:c r="O5" s="13"/>
    </x:row>
    <x:row r="6">
      <x:c r="A6" s="10" t="n">
        <x:v>2</x:v>
      </x:c>
      <x:c r="B6" s="23" t="n">
        <x:f>CORREL('Исходные данные'!$B$5:$B$302,'Исходные данные'!$B$7:$B$304)</x:f>
        <x:v>-0.03859100597274879</x:v>
      </x:c>
      <x:c r="C6" s="23" t="n">
        <x:f>CORREL('Генератор'!$E$12:$E$309,'Генератор'!$E$14:$E$311)</x:f>
        <x:v>-0.03235815041026696</x:v>
      </x:c>
      <x:c r="D6" s="18" t="n">
        <x:f>IF(ABS(B6)&lt;0.000001,"н/д",ABS(C6-B6)/ABS(B6))</x:f>
        <x:v>0.16151057494803805</x:v>
      </x:c>
      <x:c r="E6" s="23" t="n">
        <x:v>0.11316065276116663</x:v>
      </x:c>
      <x:c r="F6" s="13"/>
      <x:c r="G6" s="13"/>
      <x:c r="H6" s="13"/>
      <x:c r="I6" s="13"/>
      <x:c r="J6" s="13"/>
      <x:c r="K6" s="13"/>
      <x:c r="L6" s="13"/>
      <x:c r="M6" s="13"/>
      <x:c r="N6" s="13"/>
      <x:c r="O6" s="13"/>
    </x:row>
    <x:row r="7">
      <x:c r="A7" s="10" t="n">
        <x:v>3</x:v>
      </x:c>
      <x:c r="B7" s="23" t="n">
        <x:f>CORREL('Исходные данные'!$B$5:$B$301,'Исходные данные'!$B$8:$B$304)</x:f>
        <x:v>0.03355071986446347</x:v>
      </x:c>
      <x:c r="C7" s="23" t="n">
        <x:f>CORREL('Генератор'!$E$12:$E$308,'Генератор'!$E$15:$E$311)</x:f>
        <x:v>-0.008316684997080305</x:v>
      </x:c>
      <x:c r="D7" s="18" t="n">
        <x:f>IF(ABS(B7)&lt;0.000001,"н/д",ABS(C7-B7)/ABS(B7))</x:f>
        <x:v>1.2478839509458406</x:v>
      </x:c>
      <x:c r="E7" s="23" t="n">
        <x:v>0.11316065276116663</x:v>
      </x:c>
      <x:c r="F7" s="13"/>
      <x:c r="G7" s="13"/>
      <x:c r="H7" s="13"/>
      <x:c r="I7" s="13"/>
      <x:c r="J7" s="13"/>
      <x:c r="K7" s="13"/>
      <x:c r="L7" s="13"/>
      <x:c r="M7" s="13"/>
      <x:c r="N7" s="13"/>
      <x:c r="O7" s="13"/>
    </x:row>
    <x:row r="8">
      <x:c r="A8" s="10" t="n">
        <x:v>4</x:v>
      </x:c>
      <x:c r="B8" s="23" t="n">
        <x:f>CORREL('Исходные данные'!$B$5:$B$300,'Исходные данные'!$B$9:$B$304)</x:f>
        <x:v>-0.039807015180696306</x:v>
      </x:c>
      <x:c r="C8" s="23" t="n">
        <x:f>CORREL('Генератор'!$E$12:$E$307,'Генератор'!$E$16:$E$311)</x:f>
        <x:v>-0.034699724099785244</x:v>
      </x:c>
      <x:c r="D8" s="18" t="n">
        <x:f>IF(ABS(B8)&lt;0.000001,"н/д",ABS(C8-B8)/ABS(B8))</x:f>
        <x:v>0.1283012820159335</x:v>
      </x:c>
      <x:c r="E8" s="23" t="n">
        <x:v>0.11316065276116663</x:v>
      </x:c>
      <x:c r="F8" s="13"/>
      <x:c r="G8" s="13"/>
      <x:c r="H8" s="13"/>
      <x:c r="I8" s="13"/>
      <x:c r="J8" s="13"/>
      <x:c r="K8" s="13"/>
      <x:c r="L8" s="13"/>
      <x:c r="M8" s="13"/>
      <x:c r="N8" s="13"/>
      <x:c r="O8" s="13"/>
    </x:row>
    <x:row r="9">
      <x:c r="A9" s="10" t="n">
        <x:v>5</x:v>
      </x:c>
      <x:c r="B9" s="23" t="n">
        <x:f>CORREL('Исходные данные'!$B$5:$B$299,'Исходные данные'!$B$10:$B$304)</x:f>
        <x:v>-0.04508965490660909</x:v>
      </x:c>
      <x:c r="C9" s="23" t="n">
        <x:f>CORREL('Генератор'!$E$12:$E$306,'Генератор'!$E$17:$E$311)</x:f>
        <x:v>-0.0179354546568628</x:v>
      </x:c>
      <x:c r="D9" s="18" t="n">
        <x:f>IF(ABS(B9)&lt;0.000001,"н/д",ABS(C9-B9)/ABS(B9))</x:f>
        <x:v>0.6022268368651036</x:v>
      </x:c>
      <x:c r="E9" s="23" t="n">
        <x:v>0.11316065276116663</x:v>
      </x:c>
      <x:c r="F9" s="13"/>
      <x:c r="G9" s="13"/>
      <x:c r="H9" s="13"/>
      <x:c r="I9" s="13"/>
      <x:c r="J9" s="13"/>
      <x:c r="K9" s="13"/>
      <x:c r="L9" s="13"/>
      <x:c r="M9" s="13"/>
      <x:c r="N9" s="13"/>
      <x:c r="O9" s="13"/>
    </x:row>
    <x:row r="10">
      <x:c r="A10" s="10" t="n">
        <x:v>6</x:v>
      </x:c>
      <x:c r="B10" s="23" t="n">
        <x:f>CORREL('Исходные данные'!$B$5:$B$298,'Исходные данные'!$B$11:$B$304)</x:f>
        <x:v>0.13536727534291312</x:v>
      </x:c>
      <x:c r="C10" s="23" t="n">
        <x:f>CORREL('Генератор'!$E$12:$E$305,'Генератор'!$E$18:$E$311)</x:f>
        <x:v>-0.016392731571964837</x:v>
      </x:c>
      <x:c r="D10" s="18" t="n">
        <x:f>IF(ABS(B10)&lt;0.000001,"н/д",ABS(C10-B10)/ABS(B10))</x:f>
        <x:v>1.1210981866218306</x:v>
      </x:c>
      <x:c r="E10" s="23" t="n">
        <x:v>0.11316065276116663</x:v>
      </x:c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</x:row>
    <x:row r="11">
      <x:c r="A11" s="10" t="n">
        <x:v>7</x:v>
      </x:c>
      <x:c r="B11" s="23" t="n">
        <x:f>CORREL('Исходные данные'!$B$5:$B$297,'Исходные данные'!$B$12:$B$304)</x:f>
        <x:v>-0.02935704170633455</x:v>
      </x:c>
      <x:c r="C11" s="23" t="n">
        <x:f>CORREL('Генератор'!$E$12:$E$304,'Генератор'!$E$19:$E$311)</x:f>
        <x:v>0.026573320462622667</x:v>
      </x:c>
      <x:c r="D11" s="18" t="n">
        <x:f>IF(ABS(B11)&lt;0.000001,"н/д",ABS(C11-B11)/ABS(B11))</x:f>
        <x:v>1.9051770518447293</x:v>
      </x:c>
      <x:c r="E11" s="23" t="n">
        <x:v>0.11316065276116663</x:v>
      </x:c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</x:row>
    <x:row r="12">
      <x:c r="A12" s="10" t="n">
        <x:v>8</x:v>
      </x:c>
      <x:c r="B12" s="23" t="n">
        <x:f>CORREL('Исходные данные'!$B$5:$B$296,'Исходные данные'!$B$13:$B$304)</x:f>
        <x:v>-0.057194004572475636</x:v>
      </x:c>
      <x:c r="C12" s="23" t="n">
        <x:f>CORREL('Генератор'!$E$12:$E$303,'Генератор'!$E$20:$E$311)</x:f>
        <x:v>0.01468214359719367</x:v>
      </x:c>
      <x:c r="D12" s="18" t="n">
        <x:f>IF(ABS(B12)&lt;0.000001,"н/д",ABS(C12-B12)/ABS(B12))</x:f>
        <x:v>1.2567077389831764</x:v>
      </x:c>
      <x:c r="E12" s="23" t="n">
        <x:v>0.11316065276116663</x:v>
      </x:c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</x:row>
    <x:row r="13">
      <x:c r="A13" s="10" t="n">
        <x:v>9</x:v>
      </x:c>
      <x:c r="B13" s="23" t="n">
        <x:f>CORREL('Исходные данные'!$B$5:$B$295,'Исходные данные'!$B$14:$B$304)</x:f>
        <x:v>-0.027036886693167932</x:v>
      </x:c>
      <x:c r="C13" s="23" t="n">
        <x:f>CORREL('Генератор'!$E$12:$E$302,'Генератор'!$E$21:$E$311)</x:f>
        <x:v>-0.016440110077217535</x:v>
      </x:c>
      <x:c r="D13" s="18" t="n">
        <x:f>IF(ABS(B13)&lt;0.000001,"н/д",ABS(C13-B13)/ABS(B13))</x:f>
        <x:v>0.39193775290067484</x:v>
      </x:c>
      <x:c r="E13" s="23" t="n">
        <x:v>0.11316065276116663</x:v>
      </x:c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</x:row>
    <x:row r="14">
      <x:c r="A14" s="10" t="n">
        <x:v>10</x:v>
      </x:c>
      <x:c r="B14" s="23" t="n">
        <x:f>CORREL('Исходные данные'!$B$5:$B$294,'Исходные данные'!$B$15:$B$304)</x:f>
        <x:v>0.08223189168629733</x:v>
      </x:c>
      <x:c r="C14" s="23" t="n">
        <x:f>CORREL('Генератор'!$E$12:$E$301,'Генератор'!$E$22:$E$311)</x:f>
        <x:v>-0.009577055379325721</x:v>
      </x:c>
      <x:c r="D14" s="18" t="n">
        <x:f>IF(ABS(B14)&lt;0.000001,"н/д",ABS(C14-B14)/ABS(B14))</x:f>
        <x:v>1.1164640042072824</x:v>
      </x:c>
      <x:c r="E14" s="23" t="n">
        <x:v>0.11316065276116663</x:v>
      </x:c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</x:row>
    <x:row r="16">
      <x:c r="A16" s="7" t="str">
        <x:v>Проверка</x:v>
      </x:c>
      <x:c r="B16" s="7" t="str">
        <x:v>Значение</x:v>
      </x:c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</x:row>
    <x:row r="17">
      <x:c r="A17" s="10" t="str">
        <x:v>Коэффициент корреляции рядов</x:v>
      </x:c>
      <x:c r="B17" s="23" t="n">
        <x:f>CORREL('Исходные данные'!B5:B304,'Генератор'!E12:E311)</x:f>
        <x:v>-0.036073946962238944</x:v>
      </x:c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</x:row>
    <x:row r="18">
      <x:c r="A18" s="10" t="str">
        <x:v>Критерий Льюнга–Бокса Q(10)</x:v>
      </x:c>
      <x:c r="B18" s="23" t="n">
        <x:v>11.645951302168012</x:v>
      </x:c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</x:row>
    <x:row r="19">
      <x:c r="A19" s="10" t="str">
        <x:v>p-value</x:v>
      </x:c>
      <x:c r="B19" s="23" t="n">
        <x:v>0.3094501499187564</x:v>
      </x:c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</x:row>
    <x:row r="20">
      <x:c r="A20" s="10" t="str">
        <x:v>Вывод</x:v>
      </x:c>
      <x:c r="B20" s="17" t="str">
        <x:v>Значимая серийная корреляция не обнаружена; независимость не доказана</x:v>
      </x:c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</x:row>
  </x:sheetData>
  <x:pageMargins left="0.7" right="0.7" top="0.75" bottom="0.75" header="0.3" footer="0.3"/>
  <x:drawing xmlns:r="http://schemas.openxmlformats.org/officeDocument/2006/relationships" r:id="Rcd9bf4c102de451c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1" topLeftCell="A12" activePane="bottomLeft" state="frozen"/>
    </x:sheetView>
  </x:sheetViews>
  <x:sheetFormatPr defaultRowHeight="15"/>
  <x:cols>
    <x:col min="7" max="7" width="23" hidden="0" customWidth="1"/>
    <x:col min="8" max="8" width="34" hidden="0" customWidth="1"/>
    <x:col min="1" max="1" width="8" hidden="0" customWidth="1"/>
    <x:col min="2" max="2" width="14" hidden="0" customWidth="1"/>
    <x:col min="3" max="3" width="14" hidden="0" customWidth="1"/>
    <x:col min="4" max="4" width="10" hidden="0" customWidth="1"/>
    <x:col min="5" max="5" width="23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</x:row>
    <x:row r="2">
      <x:c r="A2" s="14" t="str">
        <x:v>Генератор гиперэкспоненциального распределения H2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</x:row>
    <x:row r="4">
      <x:c r="A4" s="7" t="str">
        <x:v>Параметр</x:v>
      </x:c>
      <x:c r="B4" s="7" t="str">
        <x:v>Значение</x:v>
      </x:c>
      <x:c r="C4" s="13"/>
      <x:c r="D4" s="13"/>
      <x:c r="E4" s="13"/>
      <x:c r="F4" s="13"/>
      <x:c r="G4" s="7" t="str">
        <x:v>Параметры LCG</x:v>
      </x:c>
      <x:c r="H4" s="7" t="str">
        <x:v>Значение</x:v>
      </x:c>
      <x:c r="I4" s="13"/>
      <x:c r="J4" s="13"/>
      <x:c r="K4" s="13"/>
      <x:c r="L4" s="13"/>
      <x:c r="M4" s="13"/>
      <x:c r="N4" s="13"/>
      <x:c r="O4" s="13"/>
    </x:row>
    <x:row r="5">
      <x:c r="A5" s="10" t="str">
        <x:v>Среднее t</x:v>
      </x:c>
      <x:c r="B5" s="16" t="n">
        <x:f>'Распределение'!H23</x:f>
        <x:v>8.020778465134065</x:v>
      </x:c>
      <x:c r="C5" s="13"/>
      <x:c r="D5" s="13"/>
      <x:c r="E5" s="13"/>
      <x:c r="F5" s="13"/>
      <x:c r="G5" s="10" t="str">
        <x:v>Множитель a</x:v>
      </x:c>
      <x:c r="H5" s="10" t="n">
        <x:v>1664525</x:v>
      </x:c>
      <x:c r="I5" s="13"/>
      <x:c r="J5" s="13"/>
      <x:c r="K5" s="13"/>
      <x:c r="L5" s="13"/>
      <x:c r="M5" s="13"/>
      <x:c r="N5" s="13"/>
      <x:c r="O5" s="13"/>
    </x:row>
    <x:row r="6">
      <x:c r="A6" s="10" t="str">
        <x:v>ν модели</x:v>
      </x:c>
      <x:c r="B6" s="16" t="n">
        <x:f>'Распределение'!H26</x:f>
        <x:v>2.8120752737822614</x:v>
      </x:c>
      <x:c r="C6" s="13"/>
      <x:c r="D6" s="13"/>
      <x:c r="E6" s="13"/>
      <x:c r="F6" s="13"/>
      <x:c r="G6" s="10" t="str">
        <x:v>Приращение c</x:v>
      </x:c>
      <x:c r="H6" s="10" t="n">
        <x:v>1013904223</x:v>
      </x:c>
      <x:c r="I6" s="13"/>
      <x:c r="J6" s="13"/>
      <x:c r="K6" s="13"/>
      <x:c r="L6" s="13"/>
      <x:c r="M6" s="13"/>
      <x:c r="N6" s="13"/>
      <x:c r="O6" s="13"/>
    </x:row>
    <x:row r="7">
      <x:c r="A7" s="10" t="str">
        <x:v>q (ветвь 1)</x:v>
      </x:c>
      <x:c r="B7" s="16" t="n">
        <x:f>'Распределение'!B23</x:f>
        <x:v>0.9403058165037487</x:v>
      </x:c>
      <x:c r="C7" s="13"/>
      <x:c r="D7" s="13"/>
      <x:c r="E7" s="13"/>
      <x:c r="F7" s="13"/>
      <x:c r="G7" s="10" t="str">
        <x:v>Модуль m</x:v>
      </x:c>
      <x:c r="H7" s="10" t="n">
        <x:v>4294967296</x:v>
      </x:c>
      <x:c r="I7" s="13"/>
      <x:c r="J7" s="13"/>
      <x:c r="K7" s="13"/>
      <x:c r="L7" s="13"/>
      <x:c r="M7" s="13"/>
      <x:c r="N7" s="13"/>
      <x:c r="O7" s="13"/>
    </x:row>
    <x:row r="8">
      <x:c r="A8" s="10" t="str">
        <x:v>Среднее t1</x:v>
      </x:c>
      <x:c r="B8" s="16" t="n">
        <x:f>'Распределение'!B24</x:f>
        <x:v>4.2649839681716415</x:v>
      </x:c>
      <x:c r="C8" s="13"/>
      <x:c r="D8" s="13"/>
      <x:c r="E8" s="13"/>
      <x:c r="F8" s="13"/>
      <x:c r="G8" s="10" t="str">
        <x:v>Рекуррентная формула</x:v>
      </x:c>
      <x:c r="H8" s="17" t="str">
        <x:v>S(k+1) = (a·S(k)+c) mod m</x:v>
      </x:c>
      <x:c r="I8" s="13"/>
      <x:c r="J8" s="13"/>
      <x:c r="K8" s="13"/>
      <x:c r="L8" s="13"/>
      <x:c r="M8" s="13"/>
      <x:c r="N8" s="13"/>
      <x:c r="O8" s="13"/>
    </x:row>
    <x:row r="9">
      <x:c r="A9" s="10" t="str">
        <x:v>Среднее t2</x:v>
      </x:c>
      <x:c r="B9" s="16" t="n">
        <x:f>'Распределение'!B25</x:f>
        <x:v>67.18224452837813</x:v>
      </x:c>
      <x:c r="C9" s="13"/>
      <x:c r="D9" s="13"/>
      <x:c r="E9" s="13"/>
      <x:c r="F9" s="13"/>
      <x:c r="G9" s="10" t="str">
        <x:v>Переход к U(0;1)</x:v>
      </x:c>
      <x:c r="H9" s="17" t="str">
        <x:v>U = (S+0,5)/m</x:v>
      </x:c>
      <x:c r="I9" s="13"/>
      <x:c r="J9" s="13"/>
      <x:c r="K9" s="13"/>
      <x:c r="L9" s="13"/>
      <x:c r="M9" s="13"/>
      <x:c r="N9" s="13"/>
      <x:c r="O9" s="13"/>
    </x:row>
    <x:row r="10">
      <x:c r="A10" s="10" t="str">
        <x:v>Seed LCG</x:v>
      </x:c>
      <x:c r="B10" s="10" t="n">
        <x:v>8141</x:v>
      </x:c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</x:row>
    <x:row r="11">
      <x:c r="A11" s="7" t="str">
        <x:v>№</x:v>
      </x:c>
      <x:c r="B11" s="7" t="str">
        <x:v>U1</x:v>
      </x:c>
      <x:c r="C11" s="7" t="str">
        <x:v>U2</x:v>
      </x:c>
      <x:c r="D11" s="7" t="str">
        <x:v>Ветвь</x:v>
      </x:c>
      <x:c r="E11" s="7" t="str">
        <x:v>Сгенерированное X</x:v>
      </x:c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</x:row>
    <x:row r="12">
      <x:c r="A12" s="10" t="n">
        <x:v>1</x:v>
      </x:c>
      <x:c r="B12" s="16" t="n">
        <x:v>0.3911322822095826</x:v>
      </x:c>
      <x:c r="C12" s="16" t="n">
        <x:v>0.6979191022692248</x:v>
      </x:c>
      <x:c r="D12" s="10" t="n">
        <x:f>IF(B12&lt;=$B$7,1,2)</x:f>
        <x:v>1</x:v>
      </x:c>
      <x:c r="E12" s="11" t="n">
        <x:f>IF(B12&lt;=$B$7,-$B$8*LN(C12),-$B$9*LN(C12))</x:f>
        <x:v>1.5339103649770813</x:v>
      </x:c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</x:row>
    <x:row r="13">
      <x:c r="A13" s="10" t="n">
        <x:v>2</x:v>
      </x:c>
      <x:c r="B13" s="16" t="n">
        <x:v>0.029578878195025027</x:v>
      </x:c>
      <x:c r="C13" s="16" t="n">
        <x:v>0.018101770780049264</x:v>
      </x:c>
      <x:c r="D13" s="10" t="n">
        <x:f>IF(B13&lt;=$B$7,1,2)</x:f>
        <x:v>1</x:v>
      </x:c>
      <x:c r="E13" s="11" t="n">
        <x:f>IF(B13&lt;=$B$7,-$B$8*LN(C13),-$B$9*LN(C13))</x:f>
        <x:v>17.110030294530898</x:v>
      </x:c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</x:row>
    <x:row r="14">
      <x:c r="A14" s="10" t="n">
        <x:v>3</x:v>
      </x:c>
      <x:c r="B14" s="16" t="n">
        <x:v>0.08588185824919492</x:v>
      </x:c>
      <x:c r="C14" s="16" t="n">
        <x:v>0.7359764379216358</x:v>
      </x:c>
      <x:c r="D14" s="10" t="n">
        <x:f>IF(B14&lt;=$B$7,1,2)</x:f>
        <x:v>1</x:v>
      </x:c>
      <x:c r="E14" s="11" t="n">
        <x:f>IF(B14&lt;=$B$7,-$B$8*LN(C14),-$B$9*LN(C14))</x:f>
        <x:v>1.3074614343962276</x:v>
      </x:c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</x:row>
    <x:row r="15">
      <x:c r="A15" s="10" t="n">
        <x:v>4</x:v>
      </x:c>
      <x:c r="B15" s="16" t="n">
        <x:v>0.41620570758823305</x:v>
      </x:c>
      <x:c r="C15" s="16" t="n">
        <x:v>0.04129750037100166</x:v>
      </x:c>
      <x:c r="D15" s="10" t="n">
        <x:f>IF(B15&lt;=$B$7,1,2)</x:f>
        <x:v>1</x:v>
      </x:c>
      <x:c r="E15" s="11" t="n">
        <x:f>IF(B15&lt;=$B$7,-$B$8*LN(C15),-$B$9*LN(C15))</x:f>
        <x:v>13.592304751223116</x:v>
      </x:c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</x:row>
    <x:row r="16">
      <x:c r="A16" s="10" t="n">
        <x:v>5</x:v>
      </x:c>
      <x:c r="B16" s="16" t="n">
        <x:v>0.9576792382868007</x:v>
      </x:c>
      <x:c r="C16" s="16" t="n">
        <x:v>0.26998353365343064</x:v>
      </x:c>
      <x:c r="D16" s="10" t="n">
        <x:f>IF(B16&lt;=$B$7,1,2)</x:f>
        <x:v>2</x:v>
      </x:c>
      <x:c r="E16" s="11" t="n">
        <x:f>IF(B16&lt;=$B$7,-$B$8*LN(C16),-$B$9*LN(C16))</x:f>
        <x:v>87.9680486051027</x:v>
      </x:c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</x:row>
    <x:row r="17">
      <x:c r="A17" s="10" t="n">
        <x:v>6</x:v>
      </x:c>
      <x:c r="B17" s="16" t="n">
        <x:v>0.5772286733845249</x:v>
      </x:c>
      <x:c r="C17" s="16" t="n">
        <x:v>0.7934395730262622</x:v>
      </x:c>
      <x:c r="D17" s="10" t="n">
        <x:f>IF(B17&lt;=$B$7,1,2)</x:f>
        <x:v>1</x:v>
      </x:c>
      <x:c r="E17" s="11" t="n">
        <x:f>IF(B17&lt;=$B$7,-$B$8*LN(C17),-$B$9*LN(C17))</x:f>
        <x:v>0.9868230100828846</x:v>
      </x:c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</x:row>
    <x:row r="18">
      <x:c r="A18" s="10" t="n">
        <x:v>7</x:v>
      </x:c>
      <x:c r="B18" s="16" t="n">
        <x:v>0.24116573587525636</x:v>
      </x:c>
      <x:c r="C18" s="16" t="n">
        <x:v>0.6323819578392431</x:v>
      </x:c>
      <x:c r="D18" s="10" t="n">
        <x:f>IF(B18&lt;=$B$7,1,2)</x:f>
        <x:v>1</x:v>
      </x:c>
      <x:c r="E18" s="11" t="n">
        <x:f>IF(B18&lt;=$B$7,-$B$8*LN(C18),-$B$9*LN(C18))</x:f>
        <x:v>1.9544788195918192</x:v>
      </x:c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</x:row>
    <x:row r="19">
      <x:c r="A19" s="10" t="n">
        <x:v>8</x:v>
      </x:c>
      <x:c r="B19" s="16" t="n">
        <x:v>0.8142465628916398</x:v>
      </x:c>
      <x:c r="C19" s="16" t="n">
        <x:v>0.9959714034339413</x:v>
      </x:c>
      <x:c r="D19" s="10" t="n">
        <x:f>IF(B19&lt;=$B$7,1,2)</x:f>
        <x:v>1</x:v>
      </x:c>
      <x:c r="E19" s="11" t="n">
        <x:f>IF(B19&lt;=$B$7,-$B$8*LN(C19),-$B$9*LN(C19))</x:f>
        <x:v>0.017216602473162663</x:v>
      </x:c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</x:row>
    <x:row r="20">
      <x:c r="A20" s="10" t="n">
        <x:v>9</x:v>
      </x:c>
      <x:c r="B20" s="16" t="n">
        <x:v>0.5361750778974965</x:v>
      </x:c>
      <x:c r="C20" s="16" t="n">
        <x:v>0.05741152714472264</x:v>
      </x:c>
      <x:c r="D20" s="10" t="n">
        <x:f>IF(B20&lt;=$B$7,1,2)</x:f>
        <x:v>1</x:v>
      </x:c>
      <x:c r="E20" s="11" t="n">
        <x:f>IF(B20&lt;=$B$7,-$B$8*LN(C20),-$B$9*LN(C20))</x:f>
        <x:v>12.187235083052611</x:v>
      </x:c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</x:row>
    <x:row r="21">
      <x:c r="A21" s="10" t="n">
        <x:v>10</x:v>
      </x:c>
      <x:c r="B21" s="16" t="n">
        <x:v>0.1580947662005201</x:v>
      </x:c>
      <x:c r="C21" s="16" t="n">
        <x:v>0.9265841174637899</x:v>
      </x:c>
      <x:c r="D21" s="10" t="n">
        <x:f>IF(B21&lt;=$B$7,1,2)</x:f>
        <x:v>1</x:v>
      </x:c>
      <x:c r="E21" s="11" t="n">
        <x:f>IF(B21&lt;=$B$7,-$B$8*LN(C21),-$B$9*LN(C21))</x:f>
        <x:v>0.3252069331986231</x:v>
      </x:c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</x:row>
    <x:row r="22">
      <x:c r="A22" s="10" t="n">
        <x:v>11</x:v>
      </x:c>
      <x:c r="B22" s="16" t="n">
        <x:v>0.6639956115977839</x:v>
      </x:c>
      <x:c r="C22" s="16" t="n">
        <x:v>0.5312689979327843</x:v>
      </x:c>
      <x:c r="D22" s="10" t="n">
        <x:f>IF(B22&lt;=$B$7,1,2)</x:f>
        <x:v>1</x:v>
      </x:c>
      <x:c r="E22" s="11" t="n">
        <x:f>IF(B22&lt;=$B$7,-$B$8*LN(C22),-$B$9*LN(C22))</x:f>
        <x:v>2.697546055973837</x:v>
      </x:c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</x:row>
    <x:row r="23">
      <x:c r="A23" s="10" t="n">
        <x:v>12</x:v>
      </x:c>
      <x:c r="B23" s="16" t="n">
        <x:v>0.7646582644665614</x:v>
      </x:c>
      <x:c r="C23" s="16" t="n">
        <x:v>0.03353539982344955</x:v>
      </x:c>
      <x:c r="D23" s="10" t="n">
        <x:f>IF(B23&lt;=$B$7,1,2)</x:f>
        <x:v>1</x:v>
      </x:c>
      <x:c r="E23" s="11" t="n">
        <x:f>IF(B23&lt;=$B$7,-$B$8*LN(C23),-$B$9*LN(C23))</x:f>
        <x:v>14.480276044233515</x:v>
      </x:c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</x:row>
    <x:row r="24">
      <x:c r="A24" s="10" t="n">
        <x:v>13</x:v>
      </x:c>
      <x:c r="B24" s="16" t="n">
        <x:v>0.7472653241129592</x:v>
      </x:c>
      <x:c r="C24" s="16" t="n">
        <x:v>0.049493320169858634</x:v>
      </x:c>
      <x:c r="D24" s="10" t="n">
        <x:f>IF(B24&lt;=$B$7,1,2)</x:f>
        <x:v>1</x:v>
      </x:c>
      <x:c r="E24" s="11" t="n">
        <x:f>IF(B24&lt;=$B$7,-$B$8*LN(C24),-$B$9*LN(C24))</x:f>
        <x:v>12.820190222566424</x:v>
      </x:c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</x:row>
    <x:row r="25">
      <x:c r="A25" s="10" t="n">
        <x:v>14</x:v>
      </x:c>
      <x:c r="B25" s="16" t="n">
        <x:v>0.10462993069086224</x:v>
      </x:c>
      <x:c r="C25" s="16" t="n">
        <x:v>0.37125740421470255</x:v>
      </x:c>
      <x:c r="D25" s="10" t="n">
        <x:f>IF(B25&lt;=$B$7,1,2)</x:f>
        <x:v>1</x:v>
      </x:c>
      <x:c r="E25" s="11" t="n">
        <x:f>IF(B25&lt;=$B$7,-$B$8*LN(C25),-$B$9*LN(C25))</x:f>
        <x:v>4.226000500852635</x:v>
      </x:c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</x:row>
    <x:row r="26">
      <x:c r="A26" s="10" t="n">
        <x:v>15</x:v>
      </x:c>
      <x:c r="B26" s="16" t="n">
        <x:v>0.4666246745036915</x:v>
      </x:c>
      <x:c r="C26" s="16" t="n">
        <x:v>0.672202453832142</x:v>
      </x:c>
      <x:c r="D26" s="10" t="n">
        <x:f>IF(B26&lt;=$B$7,1,2)</x:f>
        <x:v>1</x:v>
      </x:c>
      <x:c r="E26" s="11" t="n">
        <x:f>IF(B26&lt;=$B$7,-$B$8*LN(C26),-$B$9*LN(C26))</x:f>
        <x:v>1.6940333492305524</x:v>
      </x:c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</x:row>
    <x:row r="27">
      <x:c r="A27" s="10" t="n">
        <x:v>16</x:v>
      </x:c>
      <x:c r="B27" s="16" t="n">
        <x:v>0.02533914300147444</x:v>
      </x:c>
      <x:c r="C27" s="16" t="n">
        <x:v>0.8728787259897217</x:v>
      </x:c>
      <x:c r="D27" s="10" t="n">
        <x:f>IF(B27&lt;=$B$7,1,2)</x:f>
        <x:v>1</x:v>
      </x:c>
      <x:c r="E27" s="11" t="n">
        <x:f>IF(B27&lt;=$B$7,-$B$8*LN(C27),-$B$9*LN(C27))</x:f>
        <x:v>0.579861459105661</x:v>
      </x:c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</x:row>
    <x:row r="28">
      <x:c r="A28" s="10" t="n">
        <x:v>17</x:v>
      </x:c>
      <x:c r="B28" s="16" t="n">
        <x:v>0.6972522382857278</x:v>
      </x:c>
      <x:c r="C28" s="16" t="n">
        <x:v>0.017806747811846435</x:v>
      </x:c>
      <x:c r="D28" s="10" t="n">
        <x:f>IF(B28&lt;=$B$7,1,2)</x:f>
        <x:v>1</x:v>
      </x:c>
      <x:c r="E28" s="11" t="n">
        <x:f>IF(B28&lt;=$B$7,-$B$8*LN(C28),-$B$9*LN(C28))</x:f>
        <x:v>17.180113750601667</x:v>
      </x:c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</x:row>
    <x:row r="29">
      <x:c r="A29" s="10" t="n">
        <x:v>18</x:v>
      </x:c>
      <x:c r="B29" s="16" t="n">
        <x:v>0.012775710434652865</x:v>
      </x:c>
      <x:c r="C29" s="16" t="n">
        <x:v>0.7252854373073205</x:v>
      </x:c>
      <x:c r="D29" s="10" t="n">
        <x:f>IF(B29&lt;=$B$7,1,2)</x:f>
        <x:v>1</x:v>
      </x:c>
      <x:c r="E29" s="11" t="n">
        <x:f>IF(B29&lt;=$B$7,-$B$8*LN(C29),-$B$9*LN(C29))</x:f>
        <x:v>1.3698701793216896</x:v>
      </x:c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</x:row>
    <x:row r="30">
      <x:c r="A30" s="10" t="n">
        <x:v>19</x:v>
      </x:c>
      <x:c r="B30" s="16" t="n">
        <x:v>0.9784081644611433</x:v>
      </x:c>
      <x:c r="C30" s="16" t="n">
        <x:v>0.08582388132344931</x:v>
      </x:c>
      <x:c r="D30" s="10" t="n">
        <x:f>IF(B30&lt;=$B$7,1,2)</x:f>
        <x:v>2</x:v>
      </x:c>
      <x:c r="E30" s="11" t="n">
        <x:f>IF(B30&lt;=$B$7,-$B$8*LN(C30),-$B$9*LN(C30))</x:f>
        <x:v>164.96317804606036</x:v>
      </x:c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</x:row>
    <x:row r="31">
      <x:c r="A31" s="10" t="n">
        <x:v>20</x:v>
      </x:c>
      <x:c r="B31" s="16" t="n">
        <x:v>0.23193411121610552</x:v>
      </x:c>
      <x:c r="C31" s="16" t="n">
        <x:v>0.3623461847892031</x:v>
      </x:c>
      <x:c r="D31" s="10" t="n">
        <x:f>IF(B31&lt;=$B$7,1,2)</x:f>
        <x:v>1</x:v>
      </x:c>
      <x:c r="E31" s="11" t="n">
        <x:f>IF(B31&lt;=$B$7,-$B$8*LN(C31),-$B$9*LN(C31))</x:f>
        <x:v>4.329620706768204</x:v>
      </x:c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</x:row>
    <x:row r="32">
      <x:c r="A32" s="10" t="n">
        <x:v>21</x:v>
      </x:c>
      <x:c r="B32" s="16" t="n">
        <x:v>0.5191104450495914</x:v>
      </x:c>
      <x:c r="C32" s="16" t="n">
        <x:v>0.5494203678099439</x:v>
      </x:c>
      <x:c r="D32" s="10" t="n">
        <x:f>IF(B32&lt;=$B$7,1,2)</x:f>
        <x:v>1</x:v>
      </x:c>
      <x:c r="E32" s="11" t="n">
        <x:f>IF(B32&lt;=$B$7,-$B$8*LN(C32),-$B$9*LN(C32))</x:f>
        <x:v>2.5542623612023085</x:v>
      </x:c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</x:row>
    <x:row r="33">
      <x:c r="A33" s="10" t="n">
        <x:v>22</x:v>
      </x:c>
      <x:c r="B33" s="16" t="n">
        <x:v>0.17360304354224354</x:v>
      </x:c>
      <x:c r="C33" s="16" t="n">
        <x:v>0.8419263496762142</x:v>
      </x:c>
      <x:c r="D33" s="10" t="n">
        <x:f>IF(B33&lt;=$B$7,1,2)</x:f>
        <x:v>1</x:v>
      </x:c>
      <x:c r="E33" s="11" t="n">
        <x:f>IF(B33&lt;=$B$7,-$B$8*LN(C33),-$B$9*LN(C33))</x:f>
        <x:v>0.7338448244590204</x:v>
      </x:c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</x:row>
    <x:row r="34">
      <x:c r="A34" s="10" t="n">
        <x:v>23</x:v>
      </x:c>
      <x:c r="B34" s="16" t="n">
        <x:v>0.6930689971195534</x:v>
      </x:c>
      <x:c r="C34" s="16" t="n">
        <x:v>0.9083046213490888</x:v>
      </x:c>
      <x:c r="D34" s="10" t="n">
        <x:f>IF(B34&lt;=$B$7,1,2)</x:f>
        <x:v>1</x:v>
      </x:c>
      <x:c r="E34" s="11" t="n">
        <x:f>IF(B34&lt;=$B$7,-$B$8*LN(C34),-$B$9*LN(C34))</x:f>
        <x:v>0.4101868401398489</x:v>
      </x:c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</x:row>
    <x:row r="35">
      <x:c r="A35" s="10" t="n">
        <x:v>24</x:v>
      </x:c>
      <x:c r="B35" s="16" t="n">
        <x:v>0.9857252888614312</x:v>
      </x:c>
      <x:c r="C35" s="16" t="n">
        <x:v>0.622316270484589</x:v>
      </x:c>
      <x:c r="D35" s="10" t="n">
        <x:f>IF(B35&lt;=$B$7,1,2)</x:f>
        <x:v>2</x:v>
      </x:c>
      <x:c r="E35" s="11" t="n">
        <x:f>IF(B35&lt;=$B$7,-$B$8*LN(C35),-$B$9*LN(C35))</x:f>
        <x:v>31.864998242331424</x:v>
      </x:c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</x:row>
    <x:row r="36">
      <x:c r="A36" s="10" t="n">
        <x:v>25</x:v>
      </x:c>
      <x:c r="B36" s="16" t="n">
        <x:v>0.22600255731958896</x:v>
      </x:c>
      <x:c r="C36" s="16" t="n">
        <x:v>0.1425965855596587</x:v>
      </x:c>
      <x:c r="D36" s="10" t="n">
        <x:f>IF(B36&lt;=$B$7,1,2)</x:f>
        <x:v>1</x:v>
      </x:c>
      <x:c r="E36" s="11" t="n">
        <x:f>IF(B36&lt;=$B$7,-$B$8*LN(C36),-$B$9*LN(C36))</x:f>
        <x:v>8.307061600717109</x:v>
      </x:c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</x:row>
    <x:row r="37">
      <x:c r="A37" s="10" t="n">
        <x:v>26</x:v>
      </x:c>
      <x:c r="B37" s="16" t="n">
        <x:v>0.8174528876552358</x:v>
      </x:c>
      <x:c r="C37" s="16" t="n">
        <x:v>0.003698528162203729</x:v>
      </x:c>
      <x:c r="D37" s="10" t="n">
        <x:f>IF(B37&lt;=$B$7,1,2)</x:f>
        <x:v>1</x:v>
      </x:c>
      <x:c r="E37" s="11" t="n">
        <x:f>IF(B37&lt;=$B$7,-$B$8*LN(C37),-$B$9*LN(C37))</x:f>
        <x:v>23.88314394263455</x:v>
      </x:c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</x:row>
    <x:row r="38">
      <x:c r="A38" s="10" t="n">
        <x:v>27</x:v>
      </x:c>
      <x:c r="B38" s="16" t="n">
        <x:v>0.5284633889095858</x:v>
      </x:c>
      <x:c r="C38" s="16" t="n">
        <x:v>0.7582989250076935</x:v>
      </x:c>
      <x:c r="D38" s="10" t="n">
        <x:f>IF(B38&lt;=$B$7,1,2)</x:f>
        <x:v>1</x:v>
      </x:c>
      <x:c r="E38" s="11" t="n">
        <x:f>IF(B38&lt;=$B$7,-$B$8*LN(C38),-$B$9*LN(C38))</x:f>
        <x:v>1.1800255748867554</x:v>
      </x:c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</x:row>
    <x:row r="39">
      <x:c r="A39" s="10" t="n">
        <x:v>28</x:v>
      </x:c>
      <x:c r="B39" s="16" t="n">
        <x:v>0.754022627719678</x:v>
      </x:c>
      <x:c r="C39" s="16" t="n">
        <x:v>0.7502792937448248</x:v>
      </x:c>
      <x:c r="D39" s="10" t="n">
        <x:f>IF(B39&lt;=$B$7,1,2)</x:f>
        <x:v>1</x:v>
      </x:c>
      <x:c r="E39" s="11" t="n">
        <x:f>IF(B39&lt;=$B$7,-$B$8*LN(C39),-$B$9*LN(C39))</x:f>
        <x:v>1.2253714781295524</x:v>
      </x:c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</x:row>
    <x:row r="40">
      <x:c r="A40" s="10" t="n">
        <x:v>29</x:v>
      </x:c>
      <x:c r="B40" s="16" t="n">
        <x:v>0.8772948012920097</x:v>
      </x:c>
      <x:c r="C40" s="16" t="n">
        <x:v>0.3649947791127488</x:v>
      </x:c>
      <x:c r="D40" s="10" t="n">
        <x:f>IF(B40&lt;=$B$7,1,2)</x:f>
        <x:v>1</x:v>
      </x:c>
      <x:c r="E40" s="11" t="n">
        <x:f>IF(B40&lt;=$B$7,-$B$8*LN(C40),-$B$9*LN(C40))</x:f>
        <x:v>4.298558899941147</x:v>
      </x:c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</x:row>
    <x:row r="41">
      <x:c r="A41" s="10" t="n">
        <x:v>30</x:v>
      </x:c>
      <x:c r="B41" s="16" t="n">
        <x:v>0.1705768449464813</x:v>
      </x:c>
      <x:c r="C41" s="16" t="n">
        <x:v>0.6587087385123596</x:v>
      </x:c>
      <x:c r="D41" s="10" t="n">
        <x:f>IF(B41&lt;=$B$7,1,2)</x:f>
        <x:v>1</x:v>
      </x:c>
      <x:c r="E41" s="11" t="n">
        <x:f>IF(B41&lt;=$B$7,-$B$8*LN(C41),-$B$9*LN(C41))</x:f>
        <x:v>1.7805191371595308</x:v>
      </x:c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</x:row>
    <x:row r="42">
      <x:c r="A42" s="10" t="n">
        <x:v>31</x:v>
      </x:c>
      <x:c r="B42" s="16" t="n">
        <x:v>0.39884648204315454</x:v>
      </x:c>
      <x:c r="C42" s="16" t="n">
        <x:v>0.176397078554146</x:v>
      </x:c>
      <x:c r="D42" s="10" t="n">
        <x:f>IF(B42&lt;=$B$7,1,2)</x:f>
        <x:v>1</x:v>
      </x:c>
      <x:c r="E42" s="11" t="n">
        <x:f>IF(B42&lt;=$B$7,-$B$8*LN(C42),-$B$9*LN(C42))</x:f>
        <x:v>7.399822662331392</x:v>
      </x:c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</x:row>
    <x:row r="43">
      <x:c r="A43" s="10" t="n">
        <x:v>32</x:v>
      </x:c>
      <x:c r="B43" s="16" t="n">
        <x:v>0.5830545366043225</x:v>
      </x:c>
      <x:c r="C43" s="16" t="n">
        <x:v>0.08841550664510578</x:v>
      </x:c>
      <x:c r="D43" s="10" t="n">
        <x:f>IF(B43&lt;=$B$7,1,2)</x:f>
        <x:v>1</x:v>
      </x:c>
      <x:c r="E43" s="11" t="n">
        <x:f>IF(B43&lt;=$B$7,-$B$8*LN(C43),-$B$9*LN(C43))</x:f>
        <x:v>10.34560534840392</x:v>
      </x:c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</x:row>
    <x:row r="44">
      <x:c r="A44" s="10" t="n">
        <x:v>33</x:v>
      </x:c>
      <x:c r="B44" s="16" t="n">
        <x:v>0.0570726414443925</x:v>
      </x:c>
      <x:c r="C44" s="16" t="n">
        <x:v>0.07437442417722195</x:v>
      </x:c>
      <x:c r="D44" s="10" t="n">
        <x:f>IF(B44&lt;=$B$7,1,2)</x:f>
        <x:v>1</x:v>
      </x:c>
      <x:c r="E44" s="11" t="n">
        <x:f>IF(B44&lt;=$B$7,-$B$8*LN(C44),-$B$9*LN(C44))</x:f>
        <x:v>11.083171404889036</x:v>
      </x:c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</x:row>
    <x:row r="45">
      <x:c r="A45" s="10" t="n">
        <x:v>34</x:v>
      </x:c>
      <x:c r="B45" s="16" t="n">
        <x:v>0.3242777871200815</x:v>
      </x:c>
      <x:c r="C45" s="16" t="n">
        <x:v>0.719480250380002</x:v>
      </x:c>
      <x:c r="D45" s="10" t="n">
        <x:f>IF(B45&lt;=$B$7,1,2)</x:f>
        <x:v>1</x:v>
      </x:c>
      <x:c r="E45" s="11" t="n">
        <x:f>IF(B45&lt;=$B$7,-$B$8*LN(C45),-$B$9*LN(C45))</x:f>
        <x:v>1.4041444739484876</x:v>
      </x:c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</x:row>
    <x:row r="46">
      <x:c r="A46" s="10" t="n">
        <x:v>35</x:v>
      </x:c>
      <x:c r="B46" s="16" t="n">
        <x:v>0.09963796951342374</x:v>
      </x:c>
      <x:c r="C46" s="16" t="n">
        <x:v>0.12707852839957923</x:v>
      </x:c>
      <x:c r="D46" s="10" t="n">
        <x:f>IF(B46&lt;=$B$7,1,2)</x:f>
        <x:v>1</x:v>
      </x:c>
      <x:c r="E46" s="11" t="n">
        <x:f>IF(B46&lt;=$B$7,-$B$8*LN(C46),-$B$9*LN(C46))</x:f>
        <x:v>8.798448889357621</x:v>
      </x:c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</x:row>
    <x:row r="47">
      <x:c r="A47" s="10" t="n">
        <x:v>36</x:v>
      </x:c>
      <x:c r="B47" s="16" t="n">
        <x:v>0.6233585063600913</x:v>
      </x:c>
      <x:c r="C47" s="16" t="n">
        <x:v>0.05367322766687721</x:v>
      </x:c>
      <x:c r="D47" s="10" t="n">
        <x:f>IF(B47&lt;=$B$7,1,2)</x:f>
        <x:v>1</x:v>
      </x:c>
      <x:c r="E47" s="11" t="n">
        <x:f>IF(B47&lt;=$B$7,-$B$8*LN(C47),-$B$9*LN(C47))</x:f>
        <x:v>12.474399784556828</x:v>
      </x:c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</x:row>
    <x:row r="48">
      <x:c r="A48" s="10" t="n">
        <x:v>37</x:v>
      </x:c>
      <x:c r="B48" s="16" t="n">
        <x:v>0.6651564055355266</x:v>
      </x:c>
      <x:c r="C48" s="16" t="n">
        <x:v>0.701798219117336</x:v>
      </x:c>
      <x:c r="D48" s="10" t="n">
        <x:f>IF(B48&lt;=$B$7,1,2)</x:f>
        <x:v>1</x:v>
      </x:c>
      <x:c r="E48" s="11" t="n">
        <x:f>IF(B48&lt;=$B$7,-$B$8*LN(C48),-$B$9*LN(C48))</x:f>
        <x:v>1.5102707153547144</x:v>
      </x:c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</x:row>
    <x:row r="49">
      <x:c r="A49" s="10" t="n">
        <x:v>38</x:v>
      </x:c>
      <x:c r="B49" s="16" t="n">
        <x:v>0.916550480411388</x:v>
      </x:c>
      <x:c r="C49" s="16" t="n">
        <x:v>0.42428096232470125</x:v>
      </x:c>
      <x:c r="D49" s="10" t="n">
        <x:f>IF(B49&lt;=$B$7,1,2)</x:f>
        <x:v>1</x:v>
      </x:c>
      <x:c r="E49" s="11" t="n">
        <x:f>IF(B49&lt;=$B$7,-$B$8*LN(C49),-$B$9*LN(C49))</x:f>
        <x:v>3.6566240798035197</x:v>
      </x:c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</x:row>
    <x:row r="50">
      <x:c r="A50" s="10" t="n">
        <x:v>39</x:v>
      </x:c>
      <x:c r="B50" s="16" t="n">
        <x:v>0.5046877200948074</x:v>
      </x:c>
      <x:c r="C50" s="16" t="n">
        <x:v>0.563165006111376</x:v>
      </x:c>
      <x:c r="D50" s="10" t="n">
        <x:f>IF(B50&lt;=$B$7,1,2)</x:f>
        <x:v>1</x:v>
      </x:c>
      <x:c r="E50" s="11" t="n">
        <x:f>IF(B50&lt;=$B$7,-$B$8*LN(C50),-$B$9*LN(C50))</x:f>
        <x:v>2.4488796268960926</x:v>
      </x:c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</x:row>
    <x:row r="51">
      <x:c r="A51" s="10" t="n">
        <x:v>40</x:v>
      </x:c>
      <x:c r="B51" s="16" t="n">
        <x:v>0.4676717348629609</x:v>
      </x:c>
      <x:c r="C51" s="16" t="n">
        <x:v>0.5303469666978344</x:v>
      </x:c>
      <x:c r="D51" s="10" t="n">
        <x:f>IF(B51&lt;=$B$7,1,2)</x:f>
        <x:v>1</x:v>
      </x:c>
      <x:c r="E51" s="11" t="n">
        <x:f>IF(B51&lt;=$B$7,-$B$8*LN(C51),-$B$9*LN(C51))</x:f>
        <x:v>2.7049544777666643</x:v>
      </x:c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</x:row>
    <x:row r="52">
      <x:c r="A52" s="10" t="n">
        <x:v>41</x:v>
      </x:c>
      <x:c r="B52" s="16" t="n">
        <x:v>0.020616909605450928</x:v>
      </x:c>
      <x:c r="C52" s="16" t="n">
        <x:v>0.5973352099535987</x:v>
      </x:c>
      <x:c r="D52" s="10" t="n">
        <x:f>IF(B52&lt;=$B$7,1,2)</x:f>
        <x:v>1</x:v>
      </x:c>
      <x:c r="E52" s="11" t="n">
        <x:f>IF(B52&lt;=$B$7,-$B$8*LN(C52),-$B$9*LN(C52))</x:f>
        <x:v>2.1976474295990087</x:v>
      </x:c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</x:row>
    <x:row r="53">
      <x:c r="A53" s="10" t="n">
        <x:v>42</x:v>
      </x:c>
      <x:c r="B53" s="16" t="n">
        <x:v>0.6262222105870023</x:v>
      </x:c>
      <x:c r="C53" s="16" t="n">
        <x:v>0.7609515268122777</x:v>
      </x:c>
      <x:c r="D53" s="10" t="n">
        <x:f>IF(B53&lt;=$B$7,1,2)</x:f>
        <x:v>1</x:v>
      </x:c>
      <x:c r="E53" s="11" t="n">
        <x:f>IF(B53&lt;=$B$7,-$B$8*LN(C53),-$B$9*LN(C53))</x:f>
        <x:v>1.1651322889862716</x:v>
      </x:c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</x:row>
    <x:row r="54">
      <x:c r="A54" s="10" t="n">
        <x:v>43</x:v>
      </x:c>
      <x:c r="B54" s="16" t="n">
        <x:v>0.07604140334296972</x:v>
      </x:c>
      <x:c r="C54" s="16" t="n">
        <x:v>0.052773653413169086</x:v>
      </x:c>
      <x:c r="D54" s="10" t="n">
        <x:f>IF(B54&lt;=$B$7,1,2)</x:f>
        <x:v>1</x:v>
      </x:c>
      <x:c r="E54" s="11" t="n">
        <x:f>IF(B54&lt;=$B$7,-$B$8*LN(C54),-$B$9*LN(C54))</x:f>
        <x:v>12.546487591566091</x:v>
      </x:c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</x:row>
    <x:row r="55">
      <x:c r="A55" s="10" t="n">
        <x:v>44</x:v>
      </x:c>
      <x:c r="B55" s="16" t="n">
        <x:v>0.3013217520201579</x:v>
      </x:c>
      <x:c r="C55" s="16" t="n">
        <x:v>0.8251555500319228</x:v>
      </x:c>
      <x:c r="D55" s="10" t="n">
        <x:f>IF(B55&lt;=$B$7,1,2)</x:f>
        <x:v>1</x:v>
      </x:c>
      <x:c r="E55" s="11" t="n">
        <x:f>IF(B55&lt;=$B$7,-$B$8*LN(C55),-$B$9*LN(C55))</x:f>
        <x:v>0.8196589703615873</x:v>
      </x:c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</x:row>
    <x:row r="56">
      <x:c r="A56" s="10" t="n">
        <x:v>45</x:v>
      </x:c>
      <x:c r="B56" s="16" t="n">
        <x:v>0.27779108297545463</x:v>
      </x:c>
      <x:c r="C56" s="16" t="n">
        <x:v>0.4382639153627679</x:v>
      </x:c>
      <x:c r="D56" s="10" t="n">
        <x:f>IF(B56&lt;=$B$7,1,2)</x:f>
        <x:v>1</x:v>
      </x:c>
      <x:c r="E56" s="11" t="n">
        <x:f>IF(B56&lt;=$B$7,-$B$8*LN(C56),-$B$9*LN(C56))</x:f>
        <x:v>3.5183303000410606</x:v>
      </x:c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</x:row>
    <x:row r="57">
      <x:c r="A57" s="10" t="n">
        <x:v>46</x:v>
      </x:c>
      <x:c r="B57" s="16" t="n">
        <x:v>0.4795934079447761</x:v>
      </x:c>
      <x:c r="C57" s="16" t="n">
        <x:v>0.45323347521480173</x:v>
      </x:c>
      <x:c r="D57" s="10" t="n">
        <x:f>IF(B57&lt;=$B$7,1,2)</x:f>
        <x:v>1</x:v>
      </x:c>
      <x:c r="E57" s="11" t="n">
        <x:f>IF(B57&lt;=$B$7,-$B$8*LN(C57),-$B$9*LN(C57))</x:f>
        <x:v>3.375086057467709</x:v>
      </x:c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</x:row>
    <x:row r="58">
      <x:c r="A58" s="10" t="n">
        <x:v>47</x:v>
      </x:c>
      <x:c r="B58" s="16" t="n">
        <x:v>0.6862061145948246</x:v>
      </x:c>
      <x:c r="C58" s="16" t="n">
        <x:v>0.46877014718484133</x:v>
      </x:c>
      <x:c r="D58" s="10" t="n">
        <x:f>IF(B58&lt;=$B$7,1,2)</x:f>
        <x:v>1</x:v>
      </x:c>
      <x:c r="E58" s="11" t="n">
        <x:f>IF(B58&lt;=$B$7,-$B$8*LN(C58),-$B$9*LN(C58))</x:f>
        <x:v>3.231334062762023</x:v>
      </x:c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</x:row>
    <x:row r="59">
      <x:c r="A59" s="10" t="n">
        <x:v>48</x:v>
      </x:c>
      <x:c r="B59" s="16" t="n">
        <x:v>0.8651170447701588</x:v>
      </x:c>
      <x:c r="C59" s="16" t="n">
        <x:v>0.1848202453693375</x:v>
      </x:c>
      <x:c r="D59" s="10" t="n">
        <x:f>IF(B59&lt;=$B$7,1,2)</x:f>
        <x:v>1</x:v>
      </x:c>
      <x:c r="E59" s="11" t="n">
        <x:f>IF(B59&lt;=$B$7,-$B$8*LN(C59),-$B$9*LN(C59))</x:f>
        <x:v>7.200877690780659</x:v>
      </x:c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</x:row>
    <x:row r="60">
      <x:c r="A60" s="10" t="n">
        <x:v>49</x:v>
      </x:c>
      <x:c r="B60" s="16" t="n">
        <x:v>0.15479759324807674</x:v>
      </x:c>
      <x:c r="C60" s="16" t="n">
        <x:v>0.6997754516778514</x:v>
      </x:c>
      <x:c r="D60" s="10" t="n">
        <x:f>IF(B60&lt;=$B$7,1,2)</x:f>
        <x:v>1</x:v>
      </x:c>
      <x:c r="E60" s="11" t="n">
        <x:f>IF(B60&lt;=$B$7,-$B$8*LN(C60),-$B$9*LN(C60))</x:f>
        <x:v>1.522581272937484</x:v>
      </x:c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</x:row>
    <x:row r="61">
      <x:c r="A61" s="10" t="n">
        <x:v>50</x:v>
      </x:c>
      <x:c r="B61" s="16" t="n">
        <x:v>0.9695782723138109</x:v>
      </x:c>
      <x:c r="C61" s="16" t="n">
        <x:v>0.5095973428105935</x:v>
      </x:c>
      <x:c r="D61" s="10" t="n">
        <x:f>IF(B61&lt;=$B$7,1,2)</x:f>
        <x:v>2</x:v>
      </x:c>
      <x:c r="E61" s="11" t="n">
        <x:f>IF(B61&lt;=$B$7,-$B$8*LN(C61),-$B$9*LN(C61))</x:f>
        <x:v>45.28986136696845</x:v>
      </x:c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</x:row>
    <x:row r="62">
      <x:c r="A62" s="10" t="n">
        <x:v>51</x:v>
      </x:c>
      <x:c r="B62" s="16" t="n">
        <x:v>0.7529159999685362</x:v>
      </x:c>
      <x:c r="C62" s="16" t="n">
        <x:v>0.7407218244625255</x:v>
      </x:c>
      <x:c r="D62" s="10" t="n">
        <x:f>IF(B62&lt;=$B$7,1,2)</x:f>
        <x:v>1</x:v>
      </x:c>
      <x:c r="E62" s="11" t="n">
        <x:f>IF(B62&lt;=$B$7,-$B$8*LN(C62),-$B$9*LN(C62))</x:f>
        <x:v>1.2800501917575662</x:v>
      </x:c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</x:row>
    <x:row r="63">
      <x:c r="A63" s="10" t="n">
        <x:v>52</x:v>
      </x:c>
      <x:c r="B63" s="16" t="n">
        <x:v>0.2307376820826903</x:v>
      </x:c>
      <x:c r="C63" s="16" t="n">
        <x:v>0.876142886816524</x:v>
      </x:c>
      <x:c r="D63" s="10" t="n">
        <x:f>IF(B63&lt;=$B$7,1,2)</x:f>
        <x:v>1</x:v>
      </x:c>
      <x:c r="E63" s="11" t="n">
        <x:f>IF(B63&lt;=$B$7,-$B$8*LN(C63),-$B$9*LN(C63))</x:f>
        <x:v>0.5639421478096897</x:v>
      </x:c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</x:row>
    <x:row r="64">
      <x:c r="A64" s="10" t="n">
        <x:v>53</x:v>
      </x:c>
      <x:c r="B64" s="16" t="n">
        <x:v>0.9745524713071063</x:v>
      </x:c>
      <x:c r="C64" s="16" t="n">
        <x:v>0.188176657888107</x:v>
      </x:c>
      <x:c r="D64" s="10" t="n">
        <x:f>IF(B64&lt;=$B$7,1,2)</x:f>
        <x:v>2</x:v>
      </x:c>
      <x:c r="E64" s="11" t="n">
        <x:f>IF(B64&lt;=$B$7,-$B$8*LN(C64),-$B$9*LN(C64))</x:f>
        <x:v>112.21948041693373</x:v>
      </x:c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</x:row>
    <x:row r="65">
      <x:c r="A65" s="10" t="n">
        <x:v>54</x:v>
      </x:c>
      <x:c r="B65" s="16" t="n">
        <x:v>0.9873453980544582</x:v>
      </x:c>
      <x:c r="C65" s="16" t="n">
        <x:v>0.3345707937842235</x:v>
      </x:c>
      <x:c r="D65" s="10" t="n">
        <x:f>IF(B65&lt;=$B$7,1,2)</x:f>
        <x:v>2</x:v>
      </x:c>
      <x:c r="E65" s="11" t="n">
        <x:f>IF(B65&lt;=$B$7,-$B$8*LN(C65),-$B$9*LN(C65))</x:f>
        <x:v>73.55829511009144</x:v>
      </x:c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</x:row>
    <x:row r="66">
      <x:c r="A66" s="10" t="n">
        <x:v>55</x:v>
      </x:c>
      <x:c r="B66" s="16" t="n">
        <x:v>0.6863978813635185</x:v>
      </x:c>
      <x:c r="C66" s="16" t="n">
        <x:v>0.6693508074386045</x:v>
      </x:c>
      <x:c r="D66" s="10" t="n">
        <x:f>IF(B66&lt;=$B$7,1,2)</x:f>
        <x:v>1</x:v>
      </x:c>
      <x:c r="E66" s="11" t="n">
        <x:f>IF(B66&lt;=$B$7,-$B$8*LN(C66),-$B$9*LN(C66))</x:f>
        <x:v>1.7121649356834205</x:v>
      </x:c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</x:row>
    <x:row r="67">
      <x:c r="A67" s="10" t="n">
        <x:v>56</x:v>
      </x:c>
      <x:c r="B67" s="16" t="n">
        <x:v>0.38862593995872885</x:v>
      </x:c>
      <x:c r="C67" s="16" t="n">
        <x:v>0.8285839998861775</x:v>
      </x:c>
      <x:c r="D67" s="10" t="n">
        <x:f>IF(B67&lt;=$B$7,1,2)</x:f>
        <x:v>1</x:v>
      </x:c>
      <x:c r="E67" s="11" t="n">
        <x:f>IF(B67&lt;=$B$7,-$B$8*LN(C67),-$B$9*LN(C67))</x:f>
        <x:v>0.8019750435141335</x:v>
      </x:c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</x:row>
    <x:row r="68">
      <x:c r="A68" s="10" t="n">
        <x:v>57</x:v>
      </x:c>
      <x:c r="B68" s="16" t="n">
        <x:v>0.01828473631758243</x:v>
      </x:c>
      <x:c r="C68" s="16" t="n">
        <x:v>0.6365932206390426</x:v>
      </x:c>
      <x:c r="D68" s="10" t="n">
        <x:f>IF(B68&lt;=$B$7,1,2)</x:f>
        <x:v>1</x:v>
      </x:c>
      <x:c r="E68" s="11" t="n">
        <x:f>IF(B68&lt;=$B$7,-$B$8*LN(C68),-$B$9*LN(C68))</x:f>
        <x:v>1.9261708832844544</x:v>
      </x:c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</x:row>
    <x:row r="69">
      <x:c r="A69" s="10" t="n">
        <x:v>58</x:v>
      </x:c>
      <x:c r="B69" s="16" t="n">
        <x:v>0.5664583990583196</x:v>
      </x:c>
      <x:c r="C69" s="16" t="n">
        <x:v>0.4025667462265119</x:v>
      </x:c>
      <x:c r="D69" s="10" t="n">
        <x:f>IF(B69&lt;=$B$7,1,2)</x:f>
        <x:v>1</x:v>
      </x:c>
      <x:c r="E69" s="11" t="n">
        <x:f>IF(B69&lt;=$B$7,-$B$8*LN(C69),-$B$9*LN(C69))</x:f>
        <x:v>3.8806848868649504</x:v>
      </x:c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</x:row>
    <x:row r="70">
      <x:c r="A70" s="10" t="n">
        <x:v>59</x:v>
      </x:c>
      <x:c r="B70" s="16" t="n">
        <x:v>0.6491368814604357</x:v>
      </x:c>
      <x:c r="C70" s="16" t="n">
        <x:v>0.8034871284617111</x:v>
      </x:c>
      <x:c r="D70" s="10" t="n">
        <x:f>IF(B70&lt;=$B$7,1,2)</x:f>
        <x:v>1</x:v>
      </x:c>
      <x:c r="E70" s="11" t="n">
        <x:f>IF(B70&lt;=$B$7,-$B$8*LN(C70),-$B$9*LN(C70))</x:f>
        <x:v>0.9331533854317294</x:v>
      </x:c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</x:row>
    <x:row r="71">
      <x:c r="A71" s="10" t="n">
        <x:v>60</x:v>
      </x:c>
      <x:c r="B71" s="16" t="n">
        <x:v>0.648376926430501</x:v>
      </x:c>
      <x:c r="C71" s="16" t="n">
        <x:v>0.8393409264972433</x:v>
      </x:c>
      <x:c r="D71" s="10" t="n">
        <x:f>IF(B71&lt;=$B$7,1,2)</x:f>
        <x:v>1</x:v>
      </x:c>
      <x:c r="E71" s="11" t="n">
        <x:f>IF(B71&lt;=$B$7,-$B$8*LN(C71),-$B$9*LN(C71))</x:f>
        <x:v>0.7469620691202209</x:v>
      </x:c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</x:row>
    <x:row r="72">
      <x:c r="A72" s="10" t="n">
        <x:v>61</x:v>
      </x:c>
      <x:c r="B72" s="16" t="n">
        <x:v>0.19155202072579414</x:v>
      </x:c>
      <x:c r="C72" s="16" t="n">
        <x:v>0.36317279923241585</x:v>
      </x:c>
      <x:c r="D72" s="10" t="n">
        <x:f>IF(B72&lt;=$B$7,1,2)</x:f>
        <x:v>1</x:v>
      </x:c>
      <x:c r="E72" s="11" t="n">
        <x:f>IF(B72&lt;=$B$7,-$B$8*LN(C72),-$B$9*LN(C72))</x:f>
        <x:v>4.319902149566285</x:v>
      </x:c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</x:row>
    <x:row r="73">
      <x:c r="A73" s="10" t="n">
        <x:v>62</x:v>
      </x:c>
      <x:c r="B73" s="16" t="n">
        <x:v>0.43951653374824673</x:v>
      </x:c>
      <x:c r="C73" s="16" t="n">
        <x:v>0.49421149713452905</x:v>
      </x:c>
      <x:c r="D73" s="10" t="n">
        <x:f>IF(B73&lt;=$B$7,1,2)</x:f>
        <x:v>1</x:v>
      </x:c>
      <x:c r="E73" s="11" t="n">
        <x:f>IF(B73&lt;=$B$7,-$B$8*LN(C73),-$B$9*LN(C73))</x:f>
        <x:v>3.0059253933758066</x:v>
      </x:c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</x:row>
    <x:row r="74">
      <x:c r="A74" s="10" t="n">
        <x:v>63</x:v>
      </x:c>
      <x:c r="B74" s="16" t="n">
        <x:v>0.6281420487212017</x:v>
      </x:c>
      <x:c r="C74" s="16" t="n">
        <x:v>0.3795218550367281</x:v>
      </x:c>
      <x:c r="D74" s="10" t="n">
        <x:f>IF(B74&lt;=$B$7,1,2)</x:f>
        <x:v>1</x:v>
      </x:c>
      <x:c r="E74" s="11" t="n">
        <x:f>IF(B74&lt;=$B$7,-$B$8*LN(C74),-$B$9*LN(C74))</x:f>
        <x:v>4.132100266889388</x:v>
      </x:c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</x:row>
    <x:row r="75">
      <x:c r="A75" s="10" t="n">
        <x:v>64</x:v>
      </x:c>
      <x:c r="B75" s="16" t="n">
        <x:v>0.8516292065614834</x:v>
      </x:c>
      <x:c r="C75" s="16" t="n">
        <x:v>0.3409259499749169</x:v>
      </x:c>
      <x:c r="D75" s="10" t="n">
        <x:f>IF(B75&lt;=$B$7,1,2)</x:f>
        <x:v>1</x:v>
      </x:c>
      <x:c r="E75" s="11" t="n">
        <x:f>IF(B75&lt;=$B$7,-$B$8*LN(C75),-$B$9*LN(C75))</x:f>
        <x:v>4.589506516332851</x:v>
      </x:c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</x:row>
    <x:row r="76">
      <x:c r="A76" s="10" t="n">
        <x:v>65</x:v>
      </x:c>
      <x:c r="B76" s="16" t="n">
        <x:v>0.002756195259280503</x:v>
      </x:c>
      <x:c r="C76" s="16" t="n">
        <x:v>0.9917881506262347</x:v>
      </x:c>
      <x:c r="D76" s="10" t="n">
        <x:f>IF(B76&lt;=$B$7,1,2)</x:f>
        <x:v>1</x:v>
      </x:c>
      <x:c r="E76" s="11" t="n">
        <x:f>IF(B76&lt;=$B$7,-$B$8*LN(C76),-$B$9*LN(C76))</x:f>
        <x:v>0.03516800153750342</x:v>
      </x:c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</x:row>
    <x:row r="77">
      <x:c r="A77" s="10" t="n">
        <x:v>66</x:v>
      </x:c>
      <x:c r="B77" s="16" t="n">
        <x:v>0.40729533007834107</x:v>
      </x:c>
      <x:c r="C77" s="16" t="n">
        <x:v>0.4951728474115953</x:v>
      </x:c>
      <x:c r="D77" s="10" t="n">
        <x:f>IF(B77&lt;=$B$7,1,2)</x:f>
        <x:v>1</x:v>
      </x:c>
      <x:c r="E77" s="11" t="n">
        <x:f>IF(B77&lt;=$B$7,-$B$8*LN(C77),-$B$9*LN(C77))</x:f>
        <x:v>2.9976371182834267</x:v>
      </x:c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</x:row>
    <x:row r="78">
      <x:c r="A78" s="10" t="n">
        <x:v>67</x:v>
      </x:c>
      <x:c r="B78" s="16" t="n">
        <x:v>0.8197119823889807</x:v>
      </x:c>
      <x:c r="C78" s="16" t="n">
        <x:v>0.3233602148247883</x:v>
      </x:c>
      <x:c r="D78" s="10" t="n">
        <x:f>IF(B78&lt;=$B$7,1,2)</x:f>
        <x:v>1</x:v>
      </x:c>
      <x:c r="E78" s="11" t="n">
        <x:f>IF(B78&lt;=$B$7,-$B$8*LN(C78),-$B$9*LN(C78))</x:f>
        <x:v>4.815117259811935</x:v>
      </x:c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</x:row>
    <x:row r="79">
      <x:c r="A79" s="10" t="n">
        <x:v>68</x:v>
      </x:c>
      <x:c r="B79" s="16" t="n">
        <x:v>0.3974554274464026</x:v>
      </x:c>
      <x:c r="C79" s="16" t="n">
        <x:v>0.7312444200506434</x:v>
      </x:c>
      <x:c r="D79" s="10" t="n">
        <x:f>IF(B79&lt;=$B$7,1,2)</x:f>
        <x:v>1</x:v>
      </x:c>
      <x:c r="E79" s="11" t="n">
        <x:f>IF(B79&lt;=$B$7,-$B$8*LN(C79),-$B$9*LN(C79))</x:f>
        <x:v>1.3349720170367119</x:v>
      </x:c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</x:row>
    <x:row r="80">
      <x:c r="A80" s="10" t="n">
        <x:v>69</x:v>
      </x:c>
      <x:c r="B80" s="16" t="n">
        <x:v>0.8541589939268306</x:v>
      </x:c>
      <x:c r="C80" s="16" t="n">
        <x:v>0.23524025443475693</x:v>
      </x:c>
      <x:c r="D80" s="10" t="n">
        <x:f>IF(B80&lt;=$B$7,1,2)</x:f>
        <x:v>1</x:v>
      </x:c>
      <x:c r="E80" s="11" t="n">
        <x:f>IF(B80&lt;=$B$7,-$B$8*LN(C80),-$B$9*LN(C80))</x:f>
        <x:v>6.17206271161628</x:v>
      </x:c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</x:row>
    <x:row r="81">
      <x:c r="A81" s="10" t="n">
        <x:v>70</x:v>
      </x:c>
      <x:c r="B81" s="16" t="n">
        <x:v>0.5203872105339542</x:v>
      </x:c>
      <x:c r="C81" s="16" t="n">
        <x:v>0.7574882268672809</x:v>
      </x:c>
      <x:c r="D81" s="10" t="n">
        <x:f>IF(B81&lt;=$B$7,1,2)</x:f>
        <x:v>1</x:v>
      </x:c>
      <x:c r="E81" s="11" t="n">
        <x:f>IF(B81&lt;=$B$7,-$B$8*LN(C81),-$B$9*LN(C81))</x:f>
        <x:v>1.1845877126477107</x:v>
      </x:c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</x:row>
    <x:row r="82">
      <x:c r="A82" s="10" t="n">
        <x:v>71</x:v>
      </x:c>
      <x:c r="B82" s="16" t="n">
        <x:v>0.32670045748818666</x:v>
      </x:c>
      <x:c r="C82" s="16" t="n">
        <x:v>0.3148747206432745</x:v>
      </x:c>
      <x:c r="D82" s="10" t="n">
        <x:f>IF(B82&lt;=$B$7,1,2)</x:f>
        <x:v>1</x:v>
      </x:c>
      <x:c r="E82" s="11" t="n">
        <x:f>IF(B82&lt;=$B$7,-$B$8*LN(C82),-$B$9*LN(C82))</x:f>
        <x:v>4.9285320143169065</x:v>
      </x:c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</x:row>
    <x:row r="83">
      <x:c r="A83" s="10" t="n">
        <x:v>72</x:v>
      </x:c>
      <x:c r="B83" s="16" t="n">
        <x:v>0.0802529432112351</x:v>
      </x:c>
      <x:c r="C83" s="16" t="n">
        <x:v>0.2661728778621182</x:v>
      </x:c>
      <x:c r="D83" s="10" t="n">
        <x:f>IF(B83&lt;=$B$7,1,2)</x:f>
        <x:v>1</x:v>
      </x:c>
      <x:c r="E83" s="11" t="n">
        <x:f>IF(B83&lt;=$B$7,-$B$8*LN(C83),-$B$9*LN(C83))</x:f>
        <x:v>5.6451722933439195</x:v>
      </x:c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</x:row>
    <x:row r="84">
      <x:c r="A84" s="10" t="n">
        <x:v>73</x:v>
      </x:c>
      <x:c r="B84" s="16" t="n">
        <x:v>0.6453976390184835</x:v>
      </x:c>
      <x:c r="C84" s="16" t="n">
        <x:v>0.7409614379284903</x:v>
      </x:c>
      <x:c r="D84" s="10" t="n">
        <x:f>IF(B84&lt;=$B$7,1,2)</x:f>
        <x:v>1</x:v>
      </x:c>
      <x:c r="E84" s="11" t="n">
        <x:f>IF(B84&lt;=$B$7,-$B$8*LN(C84),-$B$9*LN(C84))</x:f>
        <x:v>1.2786707503806587</x:v>
      </x:c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</x:row>
    <x:row r="85">
      <x:c r="A85" s="10" t="n">
        <x:v>74</x:v>
      </x:c>
      <x:c r="B85" s="16" t="n">
        <x:v>0.0733421171316877</x:v>
      </x:c>
      <x:c r="C85" s="16" t="n">
        <x:v>0.023392819217406213</x:v>
      </x:c>
      <x:c r="D85" s="10" t="n">
        <x:f>IF(B85&lt;=$B$7,1,2)</x:f>
        <x:v>1</x:v>
      </x:c>
      <x:c r="E85" s="11" t="n">
        <x:f>IF(B85&lt;=$B$7,-$B$8*LN(C85),-$B$9*LN(C85))</x:f>
        <x:v>16.016405930624025</x:v>
      </x:c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</x:row>
    <x:row r="86">
      <x:c r="A86" s="10" t="n">
        <x:v>75</x:v>
      </x:c>
      <x:c r="B86" s="16" t="n">
        <x:v>0.1682820498244837</x:v>
      </x:c>
      <x:c r="C86" s="16" t="n">
        <x:v>0.9148582954658195</x:v>
      </x:c>
      <x:c r="D86" s="10" t="n">
        <x:f>IF(B86&lt;=$B$7,1,2)</x:f>
        <x:v>1</x:v>
      </x:c>
      <x:c r="E86" s="11" t="n">
        <x:f>IF(B86&lt;=$B$7,-$B$8*LN(C86),-$B$9*LN(C86))</x:f>
        <x:v>0.3795242644849846</x:v>
      </x:c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</x:row>
    <x:row r="87">
      <x:c r="A87" s="10" t="n">
        <x:v>76</x:v>
      </x:c>
      <x:c r="B87" s="16" t="n">
        <x:v>0.7401344400132075</x:v>
      </x:c>
      <x:c r="C87" s="16" t="n">
        <x:v>0.5146371809532866</x:v>
      </x:c>
      <x:c r="D87" s="10" t="n">
        <x:f>IF(B87&lt;=$B$7,1,2)</x:f>
        <x:v>1</x:v>
      </x:c>
      <x:c r="E87" s="11" t="n">
        <x:f>IF(B87&lt;=$B$7,-$B$8*LN(C87),-$B$9*LN(C87))</x:f>
        <x:v>2.833199547913059</x:v>
      </x:c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</x:row>
    <x:row r="88">
      <x:c r="A88" s="10" t="n">
        <x:v>77</x:v>
      </x:c>
      <x:c r="B88" s="16" t="n">
        <x:v>0.6895004661055282</x:v>
      </x:c>
      <x:c r="C88" s="16" t="n">
        <x:v>0.9992185010341927</x:v>
      </x:c>
      <x:c r="D88" s="10" t="n">
        <x:f>IF(B88&lt;=$B$7,1,2)</x:f>
        <x:v>1</x:v>
      </x:c>
      <x:c r="E88" s="11" t="n">
        <x:f>IF(B88&lt;=$B$7,-$B$8*LN(C88),-$B$9*LN(C88))</x:f>
        <x:v>0.0033343836387633025</x:v>
      </x:c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</x:row>
    <x:row r="89">
      <x:c r="A89" s="10" t="n">
        <x:v>78</x:v>
      </x:c>
      <x:c r="B89" s="16" t="n">
        <x:v>0.4113081364193931</x:v>
      </x:c>
      <x:c r="C89" s="16" t="n">
        <x:v>0.9116476870840415</x:v>
      </x:c>
      <x:c r="D89" s="10" t="n">
        <x:f>IF(B89&lt;=$B$7,1,2)</x:f>
        <x:v>1</x:v>
      </x:c>
      <x:c r="E89" s="11" t="n">
        <x:f>IF(B89&lt;=$B$7,-$B$8*LN(C89),-$B$9*LN(C89))</x:f>
        <x:v>0.39451814625745507</x:v>
      </x:c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</x:row>
    <x:row r="90">
      <x:c r="A90" s="10" t="n">
        <x:v>79</x:v>
      </x:c>
      <x:c r="B90" s="16" t="n">
        <x:v>0.6022177609847859</x:v>
      </x:c>
      <x:c r="C90" s="16" t="n">
        <x:v>0.7544773974223062</x:v>
      </x:c>
      <x:c r="D90" s="10" t="n">
        <x:f>IF(B90&lt;=$B$7,1,2)</x:f>
        <x:v>1</x:v>
      </x:c>
      <x:c r="E90" s="11" t="n">
        <x:f>IF(B90&lt;=$B$7,-$B$8*LN(C90),-$B$9*LN(C90))</x:f>
        <x:v>1.2015737552943686</x:v>
      </x:c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</x:row>
    <x:row r="91">
      <x:c r="A91" s="10" t="n">
        <x:v>80</x:v>
      </x:c>
      <x:c r="B91" s="16" t="n">
        <x:v>0.7258185610407963</x:v>
      </x:c>
      <x:c r="C91" s="16" t="n">
        <x:v>0.3761906282743439</x:v>
      </x:c>
      <x:c r="D91" s="10" t="n">
        <x:f>IF(B91&lt;=$B$7,1,2)</x:f>
        <x:v>1</x:v>
      </x:c>
      <x:c r="E91" s="11" t="n">
        <x:f>IF(B91&lt;=$B$7,-$B$8*LN(C91),-$B$9*LN(C91))</x:f>
        <x:v>4.169701129846046</x:v>
      </x:c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</x:row>
    <x:row r="92">
      <x:c r="A92" s="10" t="n">
        <x:v>81</x:v>
      </x:c>
      <x:c r="B92" s="16" t="n">
        <x:v>0.9414025490405038</x:v>
      </x:c>
      <x:c r="C92" s="16" t="n">
        <x:v>0.31381584133487195</x:v>
      </x:c>
      <x:c r="D92" s="10" t="n">
        <x:f>IF(B92&lt;=$B$7,1,2)</x:f>
        <x:v>2</x:v>
      </x:c>
      <x:c r="E92" s="11" t="n">
        <x:f>IF(B92&lt;=$B$7,-$B$8*LN(C92),-$B$9*LN(C92))</x:f>
        <x:v>77.86079227157461</x:v>
      </x:c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</x:row>
    <x:row r="93">
      <x:c r="A93" s="10" t="n">
        <x:v>82</x:v>
      </x:c>
      <x:c r="B93" s="16" t="n">
        <x:v>0.549172124476172</x:v>
      </x:c>
      <x:c r="C93" s="16" t="n">
        <x:v>0.9663678969955072</x:v>
      </x:c>
      <x:c r="D93" s="10" t="n">
        <x:f>IF(B93&lt;=$B$7,1,2)</x:f>
        <x:v>1</x:v>
      </x:c>
      <x:c r="E93" s="11" t="n">
        <x:f>IF(B93&lt;=$B$7,-$B$8*LN(C93),-$B$9*LN(C93))</x:f>
        <x:v>0.1459079655813394</x:v>
      </x:c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</x:row>
    <x:row r="94">
      <x:c r="A94" s="10" t="n">
        <x:v>83</x:v>
      </x:c>
      <x:c r="B94" s="16" t="n">
        <x:v>0.7596206433372572</x:v>
      </x:c>
      <x:c r="C94" s="16" t="n">
        <x:v>0.7872251447988674</x:v>
      </x:c>
      <x:c r="D94" s="10" t="n">
        <x:f>IF(B94&lt;=$B$7,1,2)</x:f>
        <x:v>1</x:v>
      </x:c>
      <x:c r="E94" s="11" t="n">
        <x:f>IF(B94&lt;=$B$7,-$B$8*LN(C94),-$B$9*LN(C94))</x:f>
        <x:v>1.0203589940553413</x:v>
      </x:c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</x:row>
    <x:row r="95">
      <x:c r="A95" s="10" t="n">
        <x:v>84</x:v>
      </x:c>
      <x:c r="B95" s="16" t="n">
        <x:v>0.1700205315137282</x:v>
      </x:c>
      <x:c r="C95" s="16" t="n">
        <x:v>0.6610920851817355</x:v>
      </x:c>
      <x:c r="D95" s="10" t="n">
        <x:f>IF(B95&lt;=$B$7,1,2)</x:f>
        <x:v>1</x:v>
      </x:c>
      <x:c r="E95" s="11" t="n">
        <x:f>IF(B95&lt;=$B$7,-$B$8*LN(C95),-$B$9*LN(C95))</x:f>
        <x:v>1.7651153789522696</x:v>
      </x:c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</x:row>
    <x:row r="96">
      <x:c r="A96" s="10" t="n">
        <x:v>85</x:v>
      </x:c>
      <x:c r="B96" s="16" t="n">
        <x:v>0.5389613249571994</x:v>
      </x:c>
      <x:c r="C96" s="16" t="n">
        <x:v>0.8352985790697858</x:v>
      </x:c>
      <x:c r="D96" s="10" t="n">
        <x:f>IF(B96&lt;=$B$7,1,2)</x:f>
        <x:v>1</x:v>
      </x:c>
      <x:c r="E96" s="11" t="n">
        <x:f>IF(B96&lt;=$B$7,-$B$8*LN(C96),-$B$9*LN(C96))</x:f>
        <x:v>0.767552268264581</x:v>
      </x:c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</x:row>
    <x:row r="97">
      <x:c r="A97" s="10" t="n">
        <x:v>86</x:v>
      </x:c>
      <x:c r="B97" s="16" t="n">
        <x:v>0.603200331912376</x:v>
      </x:c>
      <x:c r="C97" s="16" t="n">
        <x:v>0.26835064438637346</x:v>
      </x:c>
      <x:c r="D97" s="10" t="n">
        <x:f>IF(B97&lt;=$B$7,1,2)</x:f>
        <x:v>1</x:v>
      </x:c>
      <x:c r="E97" s="11" t="n">
        <x:f>IF(B97&lt;=$B$7,-$B$8*LN(C97),-$B$9*LN(C97))</x:f>
        <x:v>5.610419133498225</x:v>
      </x:c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</x:row>
    <x:row r="98">
      <x:c r="A98" s="10" t="n">
        <x:v>87</x:v>
      </x:c>
      <x:c r="B98" s="16" t="n">
        <x:v>0.5922214250313118</x:v>
      </x:c>
      <x:c r="C98" s="16" t="n">
        <x:v>0.6033744410378858</x:v>
      </x:c>
      <x:c r="D98" s="10" t="n">
        <x:f>IF(B98&lt;=$B$7,1,2)</x:f>
        <x:v>1</x:v>
      </x:c>
      <x:c r="E98" s="11" t="n">
        <x:f>IF(B98&lt;=$B$7,-$B$8*LN(C98),-$B$9*LN(C98))</x:f>
        <x:v>2.154743733540214</x:v>
      </x:c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</x:row>
    <x:row r="99">
      <x:c r="A99" s="10" t="n">
        <x:v>88</x:v>
      </x:c>
      <x:c r="B99" s="16" t="n">
        <x:v>0.07734278368297964</x:v>
      </x:c>
      <x:c r="C99" s="16" t="n">
        <x:v>0.23288410843815655</x:v>
      </x:c>
      <x:c r="D99" s="10" t="n">
        <x:f>IF(B99&lt;=$B$7,1,2)</x:f>
        <x:v>1</x:v>
      </x:c>
      <x:c r="E99" s="11" t="n">
        <x:f>IF(B99&lt;=$B$7,-$B$8*LN(C99),-$B$9*LN(C99))</x:f>
        <x:v>6.214995789046136</x:v>
      </x:c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</x:row>
    <x:row r="100">
      <x:c r="A100" s="10" t="n">
        <x:v>89</x:v>
      </x:c>
      <x:c r="B100" s="16" t="n">
        <x:v>0.656472219270654</x:v>
      </x:c>
      <x:c r="C100" s="16" t="n">
        <x:v>0.656655682134442</x:v>
      </x:c>
      <x:c r="D100" s="10" t="n">
        <x:f>IF(B100&lt;=$B$7,1,2)</x:f>
        <x:v>1</x:v>
      </x:c>
      <x:c r="E100" s="11" t="n">
        <x:f>IF(B100&lt;=$B$7,-$B$8*LN(C100),-$B$9*LN(C100))</x:f>
        <x:v>1.7938329527238612</x:v>
      </x:c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</x:row>
    <x:row r="101">
      <x:c r="A101" s="10" t="n">
        <x:v>90</x:v>
      </x:c>
      <x:c r="B101" s="16" t="n">
        <x:v>0.035179028869606555</x:v>
      </x:c>
      <x:c r="C101" s="16" t="n">
        <x:v>0.6089033785974607</x:v>
      </x:c>
      <x:c r="D101" s="10" t="n">
        <x:f>IF(B101&lt;=$B$7,1,2)</x:f>
        <x:v>1</x:v>
      </x:c>
      <x:c r="E101" s="11" t="n">
        <x:f>IF(B101&lt;=$B$7,-$B$8*LN(C101),-$B$9*LN(C101))</x:f>
        <x:v>2.115840120569031</x:v>
      </x:c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</x:row>
    <x:row r="102">
      <x:c r="A102" s="10" t="n">
        <x:v>91</x:v>
      </x:c>
      <x:c r="B102" s="16" t="n">
        <x:v>0.13213413499761373</x:v>
      </x:c>
      <x:c r="C102" s="16" t="n">
        <x:v>0.8069310997379944</x:v>
      </x:c>
      <x:c r="D102" s="10" t="n">
        <x:f>IF(B102&lt;=$B$7,1,2)</x:f>
        <x:v>1</x:v>
      </x:c>
      <x:c r="E102" s="11" t="n">
        <x:f>IF(B102&lt;=$B$7,-$B$8*LN(C102),-$B$9*LN(C102))</x:f>
        <x:v>0.9149115344451022</x:v>
      </x:c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</x:row>
    <x:row r="103">
      <x:c r="A103" s="10" t="n">
        <x:v>92</x:v>
      </x:c>
      <x:c r="B103" s="16" t="n">
        <x:v>0.22466558183077723</x:v>
      </x:c>
      <x:c r="C103" s="16" t="n">
        <x:v>0.7134710712125525</x:v>
      </x:c>
      <x:c r="D103" s="10" t="n">
        <x:f>IF(B103&lt;=$B$7,1,2)</x:f>
        <x:v>1</x:v>
      </x:c>
      <x:c r="E103" s="11" t="n">
        <x:f>IF(B103&lt;=$B$7,-$B$8*LN(C103),-$B$9*LN(C103))</x:f>
        <x:v>1.4399156863603335</x:v>
      </x:c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</x:row>
    <x:row r="104">
      <x:c r="A104" s="10" t="n">
        <x:v>93</x:v>
      </x:c>
      <x:c r="B104" s="16" t="n">
        <x:v>0.6706842706771567</x:v>
      </x:c>
      <x:c r="C104" s="16" t="n">
        <x:v>0.9715230910805985</x:v>
      </x:c>
      <x:c r="D104" s="10" t="n">
        <x:f>IF(B104&lt;=$B$7,1,2)</x:f>
        <x:v>1</x:v>
      </x:c>
      <x:c r="E104" s="11" t="n">
        <x:f>IF(B104&lt;=$B$7,-$B$8*LN(C104),-$B$9*LN(C104))</x:f>
        <x:v>0.12321641881631291</x:v>
      </x:c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</x:row>
    <x:row r="105">
      <x:c r="A105" s="10" t="n">
        <x:v>94</x:v>
      </x:c>
      <x:c r="B105" s="16" t="n">
        <x:v>0.7090551300207153</x:v>
      </x:c>
      <x:c r="C105" s="16" t="n">
        <x:v>0.22617192787583917</x:v>
      </x:c>
      <x:c r="D105" s="10" t="n">
        <x:f>IF(B105&lt;=$B$7,1,2)</x:f>
        <x:v>1</x:v>
      </x:c>
      <x:c r="E105" s="11" t="n">
        <x:f>IF(B105&lt;=$B$7,-$B$8*LN(C105),-$B$9*LN(C105))</x:f>
        <x:v>6.339727327709747</x:v>
      </x:c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</x:row>
    <x:row r="106">
      <x:c r="A106" s="10" t="n">
        <x:v>95</x:v>
      </x:c>
      <x:c r="B106" s="16" t="n">
        <x:v>0.06412172794807702</x:v>
      </x:c>
      <x:c r="C106" s="16" t="n">
        <x:v>0.4550869696540758</x:v>
      </x:c>
      <x:c r="D106" s="10" t="n">
        <x:f>IF(B106&lt;=$B$7,1,2)</x:f>
        <x:v>1</x:v>
      </x:c>
      <x:c r="E106" s="11" t="n">
        <x:f>IF(B106&lt;=$B$7,-$B$8*LN(C106),-$B$9*LN(C106))</x:f>
        <x:v>3.357680008566277</x:v>
      </x:c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</x:row>
    <x:row r="107">
      <x:c r="A107" s="10" t="n">
        <x:v>96</x:v>
      </x:c>
      <x:c r="B107" s="16" t="n">
        <x:v>0.8740376472705975</x:v>
      </x:c>
      <x:c r="C107" s="16" t="n">
        <x:v>0.7506972880801186</x:v>
      </x:c>
      <x:c r="D107" s="10" t="n">
        <x:f>IF(B107&lt;=$B$7,1,2)</x:f>
        <x:v>1</x:v>
      </x:c>
      <x:c r="E107" s="11" t="n">
        <x:f>IF(B107&lt;=$B$7,-$B$8*LN(C107),-$B$9*LN(C107))</x:f>
        <x:v>1.2229960390900811</x:v>
      </x:c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</x:row>
    <x:row r="108">
      <x:c r="A108" s="10" t="n">
        <x:v>97</x:v>
      </x:c>
      <x:c r="B108" s="16" t="n">
        <x:v>0.6393157561542466</x:v>
      </x:c>
      <x:c r="C108" s="16" t="n">
        <x:v>0.2948868441162631</x:v>
      </x:c>
      <x:c r="D108" s="10" t="n">
        <x:f>IF(B108&lt;=$B$7,1,2)</x:f>
        <x:v>1</x:v>
      </x:c>
      <x:c r="E108" s="11" t="n">
        <x:f>IF(B108&lt;=$B$7,-$B$8*LN(C108),-$B$9*LN(C108))</x:f>
        <x:v>5.208243071999488</x:v>
      </x:c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</x:row>
    <x:row r="109">
      <x:c r="A109" s="10" t="n">
        <x:v>98</x:v>
      </x:c>
      <x:c r="B109" s="16" t="n">
        <x:v>0.7600768195698038</x:v>
      </x:c>
      <x:c r="C109" s="16" t="n">
        <x:v>0.10396862437482923</x:v>
      </x:c>
      <x:c r="D109" s="10" t="n">
        <x:f>IF(B109&lt;=$B$7,1,2)</x:f>
        <x:v>1</x:v>
      </x:c>
      <x:c r="E109" s="11" t="n">
        <x:f>IF(B109&lt;=$B$7,-$B$8*LN(C109),-$B$9*LN(C109))</x:f>
        <x:v>9.654499685765787</x:v>
      </x:c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</x:row>
    <x:row r="110">
      <x:c r="A110" s="10" t="n">
        <x:v>99</x:v>
      </x:c>
      <x:c r="B110" s="16" t="n">
        <x:v>0.6103617093758658</x:v>
      </x:c>
      <x:c r="C110" s="16" t="n">
        <x:v>0.5601730596972629</x:v>
      </x:c>
      <x:c r="D110" s="10" t="n">
        <x:f>IF(B110&lt;=$B$7,1,2)</x:f>
        <x:v>1</x:v>
      </x:c>
      <x:c r="E110" s="11" t="n">
        <x:f>IF(B110&lt;=$B$7,-$B$8*LN(C110),-$B$9*LN(C110))</x:f>
        <x:v>2.471598760258716</x:v>
      </x:c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</x:row>
    <x:row r="111">
      <x:c r="A111" s="10" t="n">
        <x:v>100</x:v>
      </x:c>
      <x:c r="B111" s="16" t="n">
        <x:v>0.2980667833471671</x:v>
      </x:c>
      <x:c r="C111" s="16" t="n">
        <x:v>0.8484251400223002</x:v>
      </x:c>
      <x:c r="D111" s="10" t="n">
        <x:f>IF(B111&lt;=$B$7,1,2)</x:f>
        <x:v>1</x:v>
      </x:c>
      <x:c r="E111" s="11" t="n">
        <x:f>IF(B111&lt;=$B$7,-$B$8*LN(C111),-$B$9*LN(C111))</x:f>
        <x:v>0.7010500200958076</x:v>
      </x:c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</x:row>
    <x:row r="112">
      <x:c r="A112" s="10" t="n">
        <x:v>101</x:v>
      </x:c>
      <x:c r="B112" s="16" t="n">
        <x:v>0.09206981596071273</x:v>
      </x:c>
      <x:c r="C112" s="16" t="n">
        <x:v>0.7462862021056935</x:v>
      </x:c>
      <x:c r="D112" s="10" t="n">
        <x:f>IF(B112&lt;=$B$7,1,2)</x:f>
        <x:v>1</x:v>
      </x:c>
      <x:c r="E112" s="11" t="n">
        <x:f>IF(B112&lt;=$B$7,-$B$8*LN(C112),-$B$9*LN(C112))</x:f>
        <x:v>1.2481309394238178</x:v>
      </x:c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</x:row>
    <x:row r="113">
      <x:c r="A113" s="10" t="n">
        <x:v>102</x:v>
      </x:c>
      <x:c r="B113" s="16" t="n">
        <x:v>0.27643417625222355</x:v>
      </x:c>
      <x:c r="C113" s="16" t="n">
        <x:v>0.8331004291540012</x:v>
      </x:c>
      <x:c r="D113" s="10" t="n">
        <x:f>IF(B113&lt;=$B$7,1,2)</x:f>
        <x:v>1</x:v>
      </x:c>
      <x:c r="E113" s="11" t="n">
        <x:f>IF(B113&lt;=$B$7,-$B$8*LN(C113),-$B$9*LN(C113))</x:f>
        <x:v>0.7787906824914655</x:v>
      </x:c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</x:row>
    <x:row r="114">
      <x:c r="A114" s="10" t="n">
        <x:v>103</x:v>
      </x:c>
      <x:c r="B114" s="16" t="n">
        <x:v>0.727711760555394</x:v>
      </x:c>
      <x:c r="C114" s="16" t="n">
        <x:v>0.6541126639349386</x:v>
      </x:c>
      <x:c r="D114" s="10" t="n">
        <x:f>IF(B114&lt;=$B$7,1,2)</x:f>
        <x:v>1</x:v>
      </x:c>
      <x:c r="E114" s="11" t="n">
        <x:f>IF(B114&lt;=$B$7,-$B$8*LN(C114),-$B$9*LN(C114))</x:f>
        <x:v>1.8103819417075426</x:v>
      </x:c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</x:row>
    <x:row r="115">
      <x:c r="A115" s="10" t="n">
        <x:v>104</x:v>
      </x:c>
      <x:c r="B115" s="16" t="n">
        <x:v>0.11781050043646246</x:v>
      </x:c>
      <x:c r="C115" s="16" t="n">
        <x:v>0.7591131994267926</x:v>
      </x:c>
      <x:c r="D115" s="10" t="n">
        <x:f>IF(B115&lt;=$B$7,1,2)</x:f>
        <x:v>1</x:v>
      </x:c>
      <x:c r="E115" s="11" t="n">
        <x:f>IF(B115&lt;=$B$7,-$B$8*LN(C115),-$B$9*LN(C115))</x:f>
        <x:v>1.1754482189785245</x:v>
      </x:c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</x:row>
    <x:row r="116">
      <x:c r="A116" s="10" t="n">
        <x:v>105</x:v>
      </x:c>
      <x:c r="B116" s="16" t="n">
        <x:v>0.13415007863659412</x:v>
      </x:c>
      <x:c r="C116" s="16" t="n">
        <x:v>0.39551677356939763</x:v>
      </x:c>
      <x:c r="D116" s="10" t="n">
        <x:f>IF(B116&lt;=$B$7,1,2)</x:f>
        <x:v>1</x:v>
      </x:c>
      <x:c r="E116" s="11" t="n">
        <x:f>IF(B116&lt;=$B$7,-$B$8*LN(C116),-$B$9*LN(C116))</x:f>
        <x:v>3.9560374076186773</x:v>
      </x:c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</x:row>
    <x:row r="117">
      <x:c r="A117" s="10" t="n">
        <x:v>106</x:v>
      </x:c>
      <x:c r="B117" s="16" t="n">
        <x:v>0.7933997983345762</x:v>
      </x:c>
      <x:c r="C117" s="16" t="n">
        <x:v>0.03519705717917532</x:v>
      </x:c>
      <x:c r="D117" s="10" t="n">
        <x:f>IF(B117&lt;=$B$7,1,2)</x:f>
        <x:v>1</x:v>
      </x:c>
      <x:c r="E117" s="11" t="n">
        <x:f>IF(B117&lt;=$B$7,-$B$8*LN(C117),-$B$9*LN(C117))</x:f>
        <x:v>14.27401764846698</x:v>
      </x:c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</x:row>
    <x:row r="118">
      <x:c r="A118" s="10" t="n">
        <x:v>107</x:v>
      </x:c>
      <x:c r="B118" s="16" t="n">
        <x:v>0.6174753635423258</x:v>
      </x:c>
      <x:c r="C118" s="16" t="n">
        <x:v>0.4153744865907356</x:v>
      </x:c>
      <x:c r="D118" s="10" t="n">
        <x:f>IF(B118&lt;=$B$7,1,2)</x:f>
        <x:v>1</x:v>
      </x:c>
      <x:c r="E118" s="11" t="n">
        <x:f>IF(B118&lt;=$B$7,-$B$8*LN(C118),-$B$9*LN(C118))</x:f>
        <x:v>3.7471073870332092</x:v>
      </x:c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</x:row>
    <x:row r="119">
      <x:c r="A119" s="10" t="n">
        <x:v>108</x:v>
      </x:c>
      <x:c r="B119" s="16" t="n">
        <x:v>0.45316664094571024</x:v>
      </x:c>
      <x:c r="C119" s="16" t="n">
        <x:v>0.43889435508754104</x:v>
      </x:c>
      <x:c r="D119" s="10" t="n">
        <x:f>IF(B119&lt;=$B$7,1,2)</x:f>
        <x:v>1</x:v>
      </x:c>
      <x:c r="E119" s="11" t="n">
        <x:f>IF(B119&lt;=$B$7,-$B$8*LN(C119),-$B$9*LN(C119))</x:f>
        <x:v>3.512199557454172</x:v>
      </x:c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</x:row>
    <x:row r="120">
      <x:c r="A120" s="10" t="n">
        <x:v>109</x:v>
      </x:c>
      <x:c r="B120" s="16" t="n">
        <x:v>0.8622762860031798</x:v>
      </x:c>
      <x:c r="C120" s="16" t="n">
        <x:v>0.6708336396841332</x:v>
      </x:c>
      <x:c r="D120" s="10" t="n">
        <x:f>IF(B120&lt;=$B$7,1,2)</x:f>
        <x:v>1</x:v>
      </x:c>
      <x:c r="E120" s="11" t="n">
        <x:f>IF(B120&lt;=$B$7,-$B$8*LN(C120),-$B$9*LN(C120))</x:f>
        <x:v>1.7027270432366304</x:v>
      </x:c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</x:row>
    <x:row r="121">
      <x:c r="A121" s="10" t="n">
        <x:v>110</x:v>
      </x:c>
      <x:c r="B121" s="16" t="n">
        <x:v>0.5999694286147133</x:v>
      </x:c>
      <x:c r="C121" s="16" t="n">
        <x:v>0.34903910232242197</x:v>
      </x:c>
      <x:c r="D121" s="10" t="n">
        <x:f>IF(B121&lt;=$B$7,1,2)</x:f>
        <x:v>1</x:v>
      </x:c>
      <x:c r="E121" s="11" t="n">
        <x:f>IF(B121&lt;=$B$7,-$B$8*LN(C121),-$B$9*LN(C121))</x:f>
        <x:v>4.489199813761355</x:v>
      </x:c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</x:row>
    <x:row r="122">
      <x:c r="A122" s="10" t="n">
        <x:v>111</x:v>
      </x:c>
      <x:c r="B122" s="16" t="n">
        <x:v>0.5476674261735752</x:v>
      </x:c>
      <x:c r="C122" s="16" t="n">
        <x:v>0.35842576704453677</x:v>
      </x:c>
      <x:c r="D122" s="10" t="n">
        <x:f>IF(B122&lt;=$B$7,1,2)</x:f>
        <x:v>1</x:v>
      </x:c>
      <x:c r="E122" s="11" t="n">
        <x:f>IF(B122&lt;=$B$7,-$B$8*LN(C122),-$B$9*LN(C122))</x:f>
        <x:v>4.376017306083998</x:v>
      </x:c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</x:row>
    <x:row r="123">
      <x:c r="A123" s="10" t="n">
        <x:v>112</x:v>
      </x:c>
      <x:c r="B123" s="16" t="n">
        <x:v>0.885764004313387</x:v>
      </x:c>
      <x:c r="C123" s="16" t="n">
        <x:v>0.5651539372047409</x:v>
      </x:c>
      <x:c r="D123" s="10" t="n">
        <x:f>IF(B123&lt;=$B$7,1,2)</x:f>
        <x:v>1</x:v>
      </x:c>
      <x:c r="E123" s="11" t="n">
        <x:f>IF(B123&lt;=$B$7,-$B$8*LN(C123),-$B$9*LN(C123))</x:f>
        <x:v>2.4338435095583946</x:v>
      </x:c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</x:row>
    <x:row r="124">
      <x:c r="A124" s="10" t="n">
        <x:v>113</x:v>
      </x:c>
      <x:c r="B124" s="16" t="n">
        <x:v>0.09319991816300899</x:v>
      </x:c>
      <x:c r="C124" s="16" t="n">
        <x:v>0.8296544792829081</x:v>
      </x:c>
      <x:c r="D124" s="10" t="n">
        <x:f>IF(B124&lt;=$B$7,1,2)</x:f>
        <x:v>1</x:v>
      </x:c>
      <x:c r="E124" s="11" t="n">
        <x:f>IF(B124&lt;=$B$7,-$B$8*LN(C124),-$B$9*LN(C124))</x:f>
        <x:v>0.796468503704711</x:v>
      </x:c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</x:row>
    <x:row r="125">
      <x:c r="A125" s="10" t="n">
        <x:v>114</x:v>
      </x:c>
      <x:c r="B125" s="16" t="n">
        <x:v>0.8580025794217363</x:v>
      </x:c>
      <x:c r="C125" s="16" t="n">
        <x:v>0.9793861623620614</x:v>
      </x:c>
      <x:c r="D125" s="10" t="n">
        <x:f>IF(B125&lt;=$B$7,1,2)</x:f>
        <x:v>1</x:v>
      </x:c>
      <x:c r="E125" s="11" t="n">
        <x:f>IF(B125&lt;=$B$7,-$B$8*LN(C125),-$B$9*LN(C125))</x:f>
        <x:v>0.0888364962325936</x:v>
      </x:c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</x:row>
    <x:row r="126">
      <x:c r="A126" s="10" t="n">
        <x:v>115</x:v>
      </x:c>
      <x:c r="B126" s="16" t="n">
        <x:v>0.9877799070673063</x:v>
      </x:c>
      <x:c r="C126" s="16" t="n">
        <x:v>0.5856854048324749</x:v>
      </x:c>
      <x:c r="D126" s="10" t="n">
        <x:f>IF(B126&lt;=$B$7,1,2)</x:f>
        <x:v>2</x:v>
      </x:c>
      <x:c r="E126" s="11" t="n">
        <x:f>IF(B126&lt;=$B$7,-$B$8*LN(C126),-$B$9*LN(C126))</x:f>
        <x:v>35.9406523289801</x:v>
      </x:c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</x:row>
    <x:row r="127">
      <x:c r="A127" s="10" t="n">
        <x:v>116</x:v>
      </x:c>
      <x:c r="B127" s="16" t="n">
        <x:v>0.23435297200921923</x:v>
      </x:c>
      <x:c r="C127" s="16" t="n">
        <x:v>0.6166078423848376</x:v>
      </x:c>
      <x:c r="D127" s="10" t="n">
        <x:f>IF(B127&lt;=$B$7,1,2)</x:f>
        <x:v>1</x:v>
      </x:c>
      <x:c r="E127" s="11" t="n">
        <x:f>IF(B127&lt;=$B$7,-$B$8*LN(C127),-$B$9*LN(C127))</x:f>
        <x:v>2.0622137695647904</x:v>
      </x:c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</x:row>
    <x:row r="128">
      <x:c r="A128" s="10" t="n">
        <x:v>117</x:v>
      </x:c>
      <x:c r="B128" s="16" t="n">
        <x:v>0.4047198184998706</x:v>
      </x:c>
      <x:c r="C128" s="16" t="n">
        <x:v>0.49176269385498017</x:v>
      </x:c>
      <x:c r="D128" s="10" t="n">
        <x:f>IF(B128&lt;=$B$7,1,2)</x:f>
        <x:v>1</x:v>
      </x:c>
      <x:c r="E128" s="11" t="n">
        <x:f>IF(B128&lt;=$B$7,-$B$8*LN(C128),-$B$9*LN(C128))</x:f>
        <x:v>3.0271107921391605</x:v>
      </x:c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</x:row>
    <x:row r="129">
      <x:c r="A129" s="10" t="n">
        <x:v>118</x:v>
      </x:c>
      <x:c r="B129" s="16" t="n">
        <x:v>0.5338631576159969</x:v>
      </x:c>
      <x:c r="C129" s="16" t="n">
        <x:v>0.808304963982664</x:v>
      </x:c>
      <x:c r="D129" s="10" t="n">
        <x:f>IF(B129&lt;=$B$7,1,2)</x:f>
        <x:v>1</x:v>
      </x:c>
      <x:c r="E129" s="11" t="n">
        <x:f>IF(B129&lt;=$B$7,-$B$8*LN(C129),-$B$9*LN(C129))</x:f>
        <x:v>0.9076562353311046</x:v>
      </x:c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</x:row>
    <x:row r="130">
      <x:c r="A130" s="10" t="n">
        <x:v>119</x:v>
      </x:c>
      <x:c r="B130" s="16" t="n">
        <x:v>0.05604744062293321</x:v>
      </x:c>
      <x:c r="C130" s="16" t="n">
        <x:v>0.6019770846469328</x:v>
      </x:c>
      <x:c r="D130" s="10" t="n">
        <x:f>IF(B130&lt;=$B$7,1,2)</x:f>
        <x:v>1</x:v>
      </x:c>
      <x:c r="E130" s="11" t="n">
        <x:f>IF(B130&lt;=$B$7,-$B$8*LN(C130),-$B$9*LN(C130))</x:f>
        <x:v>2.164632475783642</x:v>
      </x:c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</x:row>
    <x:row r="131">
      <x:c r="A131" s="10" t="n">
        <x:v>120</x:v>
      </x:c>
      <x:c r="B131" s="16" t="n">
        <x:v>0.14269613253418356</x:v>
      </x:c>
      <x:c r="C131" s="16" t="n">
        <x:v>0.5158806586405262</x:v>
      </x:c>
      <x:c r="D131" s="10" t="n">
        <x:f>IF(B131&lt;=$B$7,1,2)</x:f>
        <x:v>1</x:v>
      </x:c>
      <x:c r="E131" s="11" t="n">
        <x:f>IF(B131&lt;=$B$7,-$B$8*LN(C131),-$B$9*LN(C131))</x:f>
        <x:v>2.8229068294931765</x:v>
      </x:c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</x:row>
    <x:row r="132">
      <x:c r="A132" s="10" t="n">
        <x:v>121</x:v>
      </x:c>
      <x:c r="B132" s="16" t="n">
        <x:v>0.48919781867880374</x:v>
      </x:c>
      <x:c r="C132" s="16" t="n">
        <x:v>0.23501053254585713</x:v>
      </x:c>
      <x:c r="D132" s="10" t="n">
        <x:f>IF(B132&lt;=$B$7,1,2)</x:f>
        <x:v>1</x:v>
      </x:c>
      <x:c r="E132" s="11" t="n">
        <x:f>IF(B132&lt;=$B$7,-$B$8*LN(C132),-$B$9*LN(C132))</x:f>
        <x:v>6.176229680724504</x:v>
      </x:c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</x:row>
    <x:row r="133">
      <x:c r="A133" s="10" t="n">
        <x:v>122</x:v>
      </x:c>
      <x:c r="B133" s="16" t="n">
        <x:v>0.1425600895890966</x:v>
      </x:c>
      <x:c r="C133" s="16" t="n">
        <x:v>0.0689974877750501</x:v>
      </x:c>
      <x:c r="D133" s="10" t="n">
        <x:f>IF(B133&lt;=$B$7,1,2)</x:f>
        <x:v>1</x:v>
      </x:c>
      <x:c r="E133" s="11" t="n">
        <x:f>IF(B133&lt;=$B$7,-$B$8*LN(C133),-$B$9*LN(C133))</x:f>
        <x:v>11.403224446145648</x:v>
      </x:c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</x:row>
    <x:row r="134">
      <x:c r="A134" s="10" t="n">
        <x:v>123</x:v>
      </x:c>
      <x:c r="B134" s="16" t="n">
        <x:v>0.2792129620211199</x:v>
      </x:c>
      <x:c r="C134" s="16" t="n">
        <x:v>0.19148240133654326</x:v>
      </x:c>
      <x:c r="D134" s="10" t="n">
        <x:f>IF(B134&lt;=$B$7,1,2)</x:f>
        <x:v>1</x:v>
      </x:c>
      <x:c r="E134" s="11" t="n">
        <x:f>IF(B134&lt;=$B$7,-$B$8*LN(C134),-$B$9*LN(C134))</x:f>
        <x:v>7.049845228486944</x:v>
      </x:c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</x:row>
    <x:row r="135">
      <x:c r="A135" s="10" t="n">
        <x:v>124</x:v>
      </x:c>
      <x:c r="B135" s="16" t="n">
        <x:v>0.47995890642050654</x:v>
      </x:c>
      <x:c r="C135" s="16" t="n">
        <x:v>0.8345837903907523</x:v>
      </x:c>
      <x:c r="D135" s="10" t="n">
        <x:f>IF(B135&lt;=$B$7,1,2)</x:f>
        <x:v>1</x:v>
      </x:c>
      <x:c r="E135" s="11" t="n">
        <x:f>IF(B135&lt;=$B$7,-$B$8*LN(C135),-$B$9*LN(C135))</x:f>
        <x:v>0.771203498433427</x:v>
      </x:c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</x:row>
    <x:row r="136">
      <x:c r="A136" s="10" t="n">
        <x:v>125</x:v>
      </x:c>
      <x:c r="B136" s="16" t="n">
        <x:v>0.8195743636460975</x:v>
      </x:c>
      <x:c r="C136" s="16" t="n">
        <x:v>0.25352221715729684</x:v>
      </x:c>
      <x:c r="D136" s="10" t="n">
        <x:f>IF(B136&lt;=$B$7,1,2)</x:f>
        <x:v>1</x:v>
      </x:c>
      <x:c r="E136" s="11" t="n">
        <x:f>IF(B136&lt;=$B$7,-$B$8*LN(C136),-$B$9*LN(C136))</x:f>
        <x:v>5.852853783849423</x:v>
      </x:c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</x:row>
    <x:row r="137">
      <x:c r="A137" s="10" t="n">
        <x:v>126</x:v>
      </x:c>
      <x:c r="B137" s="16" t="n">
        <x:v>0.304387946263887</x:v>
      </x:c>
      <x:c r="C137" s="16" t="n">
        <x:v>0.5821290932362899</x:v>
      </x:c>
      <x:c r="D137" s="10" t="n">
        <x:f>IF(B137&lt;=$B$7,1,2)</x:f>
        <x:v>1</x:v>
      </x:c>
      <x:c r="E137" s="11" t="n">
        <x:f>IF(B137&lt;=$B$7,-$B$8*LN(C137),-$B$9*LN(C137))</x:f>
        <x:v>2.307625217653104</x:v>
      </x:c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</x:row>
    <x:row r="138">
      <x:c r="A138" s="10" t="n">
        <x:v>127</x:v>
      </x:c>
      <x:c r="B138" s="16" t="n">
        <x:v>0.6647933322237805</x:v>
      </x:c>
      <x:c r="C138" s="16" t="n">
        <x:v>0.35719398490618914</x:v>
      </x:c>
      <x:c r="D138" s="10" t="n">
        <x:f>IF(B138&lt;=$B$7,1,2)</x:f>
        <x:v>1</x:v>
      </x:c>
      <x:c r="E138" s="11" t="n">
        <x:f>IF(B138&lt;=$B$7,-$B$8*LN(C138),-$B$9*LN(C138))</x:f>
        <x:v>4.390699785840652</x:v>
      </x:c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</x:row>
    <x:row r="139">
      <x:c r="A139" s="10" t="n">
        <x:v>128</x:v>
      </x:c>
      <x:c r="B139" s="16" t="n">
        <x:v>0.5536001712316647</x:v>
      </x:c>
      <x:c r="C139" s="16" t="n">
        <x:v>0.5608935834607109</x:v>
      </x:c>
      <x:c r="D139" s="10" t="n">
        <x:f>IF(B139&lt;=$B$7,1,2)</x:f>
        <x:v>1</x:v>
      </x:c>
      <x:c r="E139" s="11" t="n">
        <x:f>IF(B139&lt;=$B$7,-$B$8*LN(C139),-$B$9*LN(C139))</x:f>
        <x:v>2.4661164408235927</x:v>
      </x:c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</x:row>
    <x:row r="140">
      <x:c r="A140" s="10" t="n">
        <x:v>129</x:v>
      </x:c>
      <x:c r="B140" s="16" t="n">
        <x:v>0.6278841366292909</x:v>
      </x:c>
      <x:c r="C140" s="16" t="n">
        <x:v>0.0783970671473071</x:v>
      </x:c>
      <x:c r="D140" s="10" t="n">
        <x:f>IF(B140&lt;=$B$7,1,2)</x:f>
        <x:v>1</x:v>
      </x:c>
      <x:c r="E140" s="11" t="n">
        <x:f>IF(B140&lt;=$B$7,-$B$8*LN(C140),-$B$9*LN(C140))</x:f>
        <x:v>10.858515949816931</x:v>
      </x:c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</x:row>
    <x:row r="141">
      <x:c r="A141" s="10" t="n">
        <x:v>130</x:v>
      </x:c>
      <x:c r="B141" s="16" t="n">
        <x:v>0.1140675680944696</x:v>
      </x:c>
      <x:c r="C141" s="16" t="n">
        <x:v>0.5546566437697038</x:v>
      </x:c>
      <x:c r="D141" s="10" t="n">
        <x:f>IF(B141&lt;=$B$7,1,2)</x:f>
        <x:v>1</x:v>
      </x:c>
      <x:c r="E141" s="11" t="n">
        <x:f>IF(B141&lt;=$B$7,-$B$8*LN(C141),-$B$9*LN(C141))</x:f>
        <x:v>2.5138072113684515</x:v>
      </x:c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</x:row>
    <x:row r="142">
      <x:c r="A142" s="10" t="n">
        <x:v>131</x:v>
      </x:c>
      <x:c r="B142" s="16" t="n">
        <x:v>0.08584496297407895</x:v>
      </x:c>
      <x:c r="C142" s="16" t="n">
        <x:v>0.32286862551700324</x:v>
      </x:c>
      <x:c r="D142" s="10" t="n">
        <x:f>IF(B142&lt;=$B$7,1,2)</x:f>
        <x:v>1</x:v>
      </x:c>
      <x:c r="E142" s="11" t="n">
        <x:f>IF(B142&lt;=$B$7,-$B$8*LN(C142),-$B$9*LN(C142))</x:f>
        <x:v>4.821606047653521</x:v>
      </x:c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</x:row>
    <x:row r="143">
      <x:c r="A143" s="10" t="n">
        <x:v>132</x:v>
      </x:c>
      <x:c r="B143" s="16" t="n">
        <x:v>0.13476288656238467</x:v>
      </x:c>
      <x:c r="C143" s="16" t="n">
        <x:v>0.4296294500818476</x:v>
      </x:c>
      <x:c r="D143" s="10" t="n">
        <x:f>IF(B143&lt;=$B$7,1,2)</x:f>
        <x:v>1</x:v>
      </x:c>
      <x:c r="E143" s="11" t="n">
        <x:f>IF(B143&lt;=$B$7,-$B$8*LN(C143),-$B$9*LN(C143))</x:f>
        <x:v>3.603195728253894</x:v>
      </x:c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</x:row>
    <x:row r="144">
      <x:c r="A144" s="10" t="n">
        <x:v>133</x:v>
      </x:c>
      <x:c r="B144" s="16" t="n">
        <x:v>0.196271684137173</x:v>
      </x:c>
      <x:c r="C144" s="16" t="n">
        <x:v>0.36091262463014573</x:v>
      </x:c>
      <x:c r="D144" s="10" t="n">
        <x:f>IF(B144&lt;=$B$7,1,2)</x:f>
        <x:v>1</x:v>
      </x:c>
      <x:c r="E144" s="11" t="n">
        <x:f>IF(B144&lt;=$B$7,-$B$8*LN(C144),-$B$9*LN(C144))</x:f>
        <x:v>4.346527847124975</x:v>
      </x:c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</x:row>
    <x:row r="145">
      <x:c r="A145" s="10" t="n">
        <x:v>134</x:v>
      </x:c>
      <x:c r="B145" s="16" t="n">
        <x:v>0.322386690066196</x:v>
      </x:c>
      <x:c r="C145" s="16" t="n">
        <x:v>0.9411566316848621</x:v>
      </x:c>
      <x:c r="D145" s="10" t="n">
        <x:f>IF(B145&lt;=$B$7,1,2)</x:f>
        <x:v>1</x:v>
      </x:c>
      <x:c r="E145" s="11" t="n">
        <x:f>IF(B145&lt;=$B$7,-$B$8*LN(C145),-$B$9*LN(C145))</x:f>
        <x:v>0.25865294196371463</x:v>
      </x:c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</x:row>
    <x:row r="146">
      <x:c r="A146" s="10" t="n">
        <x:v>135</x:v>
      </x:c>
      <x:c r="B146" s="16" t="n">
        <x:v>0.9782294417964295</x:v>
      </x:c>
      <x:c r="C146" s="16" t="n">
        <x:v>0.5974803984863684</x:v>
      </x:c>
      <x:c r="D146" s="10" t="n">
        <x:f>IF(B146&lt;=$B$7,1,2)</x:f>
        <x:v>2</x:v>
      </x:c>
      <x:c r="E146" s="11" t="n">
        <x:f>IF(B146&lt;=$B$7,-$B$8*LN(C146),-$B$9*LN(C146))</x:f>
        <x:v>34.601126799145625</x:v>
      </x:c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</x:row>
    <x:row r="147">
      <x:c r="A147" s="10" t="n">
        <x:v>136</x:v>
      </x:c>
      <x:c r="B147" s="16" t="n">
        <x:v>0.29616471903864294</x:v>
      </x:c>
      <x:c r="C147" s="16" t="n">
        <x:v>0.8148319938918576</x:v>
      </x:c>
      <x:c r="D147" s="10" t="n">
        <x:f>IF(B147&lt;=$B$7,1,2)</x:f>
        <x:v>1</x:v>
      </x:c>
      <x:c r="E147" s="11" t="n">
        <x:f>IF(B147&lt;=$B$7,-$B$8*LN(C147),-$B$9*LN(C147))</x:f>
        <x:v>0.8733549672369693</x:v>
      </x:c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</x:row>
    <x:row r="148">
      <x:c r="A148" s="10" t="n">
        <x:v>137</x:v>
      </x:c>
      <x:c r="B148" s="16" t="n">
        <x:v>0.4605070409597829</x:v>
      </x:c>
      <x:c r="C148" s="16" t="n">
        <x:v>0.7182277793763205</x:v>
      </x:c>
      <x:c r="D148" s="10" t="n">
        <x:f>IF(B148&lt;=$B$7,1,2)</x:f>
        <x:v>1</x:v>
      </x:c>
      <x:c r="E148" s="11" t="n">
        <x:f>IF(B148&lt;=$B$7,-$B$8*LN(C148),-$B$9*LN(C148))</x:f>
        <x:v>1.4115754265369986</x:v>
      </x:c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</x:row>
    <x:row r="149">
      <x:c r="A149" s="10" t="n">
        <x:v>138</x:v>
      </x:c>
      <x:c r="B149" s="16" t="n">
        <x:v>0.3303405666956678</x:v>
      </x:c>
      <x:c r="C149" s="16" t="n">
        <x:v>0.36765330319758505</x:v>
      </x:c>
      <x:c r="D149" s="10" t="n">
        <x:f>IF(B149&lt;=$B$7,1,2)</x:f>
        <x:v>1</x:v>
      </x:c>
      <x:c r="E149" s="11" t="n">
        <x:f>IF(B149&lt;=$B$7,-$B$8*LN(C149),-$B$9*LN(C149))</x:f>
        <x:v>4.267606488707589</x:v>
      </x:c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</x:row>
    <x:row r="150">
      <x:c r="A150" s="10" t="n">
        <x:v>139</x:v>
      </x:c>
      <x:c r="B150" s="16" t="n">
        <x:v>0.350379156996496</x:v>
      </x:c>
      <x:c r="C150" s="16" t="n">
        <x:v>0.10217378928791732</x:v>
      </x:c>
      <x:c r="D150" s="10" t="n">
        <x:f>IF(B150&lt;=$B$7,1,2)</x:f>
        <x:v>1</x:v>
      </x:c>
      <x:c r="E150" s="11" t="n">
        <x:f>IF(B150&lt;=$B$7,-$B$8*LN(C150),-$B$9*LN(C150))</x:f>
        <x:v>9.728770052343789</x:v>
      </x:c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</x:row>
    <x:row r="151">
      <x:c r="A151" s="10" t="n">
        <x:v>140</x:v>
      </x:c>
      <x:c r="B151" s="16" t="n">
        <x:v>0.06248866731766611</x:v>
      </x:c>
      <x:c r="C151" s="16" t="n">
        <x:v>0.18484113493468612</x:v>
      </x:c>
      <x:c r="D151" s="10" t="n">
        <x:f>IF(B151&lt;=$B$7,1,2)</x:f>
        <x:v>1</x:v>
      </x:c>
      <x:c r="E151" s="11" t="n">
        <x:f>IF(B151&lt;=$B$7,-$B$8*LN(C151),-$B$9*LN(C151))</x:f>
        <x:v>7.200395662274811</x:v>
      </x:c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</x:row>
    <x:row r="152">
      <x:c r="A152" s="10" t="n">
        <x:v>141</x:v>
      </x:c>
      <x:c r="B152" s="16" t="n">
        <x:v>0.9260013551684096</x:v>
      </x:c>
      <x:c r="C152" s="16" t="n">
        <x:v>0.6415858938125893</x:v>
      </x:c>
      <x:c r="D152" s="10" t="n">
        <x:f>IF(B152&lt;=$B$7,1,2)</x:f>
        <x:v>1</x:v>
      </x:c>
      <x:c r="E152" s="11" t="n">
        <x:f>IF(B152&lt;=$B$7,-$B$8*LN(C152),-$B$9*LN(C152))</x:f>
        <x:v>1.8928519546622282</x:v>
      </x:c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</x:row>
    <x:row r="153">
      <x:c r="A153" s="10" t="n">
        <x:v>142</x:v>
      </x:c>
      <x:c r="B153" s="16" t="n">
        <x:v>0.9957725970307365</x:v>
      </x:c>
      <x:c r="C153" s="16" t="n">
        <x:v>0.617946783429943</x:v>
      </x:c>
      <x:c r="D153" s="10" t="n">
        <x:f>IF(B153&lt;=$B$7,1,2)</x:f>
        <x:v>2</x:v>
      </x:c>
      <x:c r="E153" s="11" t="n">
        <x:f>IF(B153&lt;=$B$7,-$B$8*LN(C153),-$B$9*LN(C153))</x:f>
        <x:v>32.3383706633673</x:v>
      </x:c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</x:row>
    <x:row r="154">
      <x:c r="A154" s="10" t="n">
        <x:v>143</x:v>
      </x:c>
      <x:c r="B154" s="16" t="n">
        <x:v>0.10556292266119272</x:v>
      </x:c>
      <x:c r="C154" s="16" t="n">
        <x:v>0.3597168185515329</x:v>
      </x:c>
      <x:c r="D154" s="10" t="n">
        <x:f>IF(B154&lt;=$B$7,1,2)</x:f>
        <x:v>1</x:v>
      </x:c>
      <x:c r="E154" s="11" t="n">
        <x:f>IF(B154&lt;=$B$7,-$B$8*LN(C154),-$B$9*LN(C154))</x:f>
        <x:v>4.360682412925077</x:v>
      </x:c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</x:row>
    <x:row r="155">
      <x:c r="A155" s="10" t="n">
        <x:v>144</x:v>
      </x:c>
      <x:c r="B155" s="16" t="n">
        <x:v>0.8732736870879307</x:v>
      </x:c>
      <x:c r="C155" s="16" t="n">
        <x:v>0.1198742346605286</x:v>
      </x:c>
      <x:c r="D155" s="10" t="n">
        <x:f>IF(B155&lt;=$B$7,1,2)</x:f>
        <x:v>1</x:v>
      </x:c>
      <x:c r="E155" s="11" t="n">
        <x:f>IF(B155&lt;=$B$7,-$B$8*LN(C155),-$B$9*LN(C155))</x:f>
        <x:v>9.047362227125166</x:v>
      </x:c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</x:row>
    <x:row r="156">
      <x:c r="A156" s="10" t="n">
        <x:v>145</x:v>
      </x:c>
      <x:c r="B156" s="16" t="n">
        <x:v>0.8963225131155923</x:v>
      </x:c>
      <x:c r="C156" s="16" t="n">
        <x:v>0.46701792802195996</x:v>
      </x:c>
      <x:c r="D156" s="10" t="n">
        <x:f>IF(B156&lt;=$B$7,1,2)</x:f>
        <x:v>1</x:v>
      </x:c>
      <x:c r="E156" s="11" t="n">
        <x:f>IF(B156&lt;=$B$7,-$B$8*LN(C156),-$B$9*LN(C156))</x:f>
        <x:v>3.24730604524458</x:v>
      </x:c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</x:row>
    <x:row r="157">
      <x:c r="A157" s="10" t="n">
        <x:v>146</x:v>
      </x:c>
      <x:c r="B157" s="16" t="n">
        <x:v>0.2525149496505037</x:v>
      </x:c>
      <x:c r="C157" s="16" t="n">
        <x:v>0.6824412014102563</x:v>
      </x:c>
      <x:c r="D157" s="10" t="n">
        <x:f>IF(B157&lt;=$B$7,1,2)</x:f>
        <x:v>1</x:v>
      </x:c>
      <x:c r="E157" s="11" t="n">
        <x:f>IF(B157&lt;=$B$7,-$B$8*LN(C157),-$B$9*LN(C157))</x:f>
        <x:v>1.629560414697862</x:v>
      </x:c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</x:row>
    <x:row r="158">
      <x:c r="A158" s="10" t="n">
        <x:v>147</x:v>
      </x:c>
      <x:c r="B158" s="16" t="n">
        <x:v>0.6766516036586836</x:v>
      </x:c>
      <x:c r="C158" s="16" t="n">
        <x:v>0.746454167063348</x:v>
      </x:c>
      <x:c r="D158" s="10" t="n">
        <x:f>IF(B158&lt;=$B$7,1,2)</x:f>
        <x:v>1</x:v>
      </x:c>
      <x:c r="E158" s="11" t="n">
        <x:f>IF(B158&lt;=$B$7,-$B$8*LN(C158),-$B$9*LN(C158))</x:f>
        <x:v>1.2471711370771674</x:v>
      </x:c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</x:row>
    <x:row r="159">
      <x:c r="A159" s="10" t="n">
        <x:v>148</x:v>
      </x:c>
      <x:c r="B159" s="16" t="n">
        <x:v>0.8583053160691634</x:v>
      </x:c>
      <x:c r="C159" s="16" t="n">
        <x:v>0.8921042209258303</x:v>
      </x:c>
      <x:c r="D159" s="10" t="n">
        <x:f>IF(B159&lt;=$B$7,1,2)</x:f>
        <x:v>1</x:v>
      </x:c>
      <x:c r="E159" s="11" t="n">
        <x:f>IF(B159&lt;=$B$7,-$B$8*LN(C159),-$B$9*LN(C159))</x:f>
        <x:v>0.4869430872171037</x:v>
      </x:c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</x:row>
    <x:row r="160">
      <x:c r="A160" s="10" t="n">
        <x:v>149</x:v>
      </x:c>
      <x:c r="B160" s="16" t="n">
        <x:v>0.014210764435119927</x:v>
      </x:c>
      <x:c r="C160" s="16" t="n">
        <x:v>0.4085455647436902</x:v>
      </x:c>
      <x:c r="D160" s="10" t="n">
        <x:f>IF(B160&lt;=$B$7,1,2)</x:f>
        <x:v>1</x:v>
      </x:c>
      <x:c r="E160" s="11" t="n">
        <x:f>IF(B160&lt;=$B$7,-$B$8*LN(C160),-$B$9*LN(C160))</x:f>
        <x:v>3.817808201053232</x:v>
      </x:c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</x:row>
    <x:row r="161">
      <x:c r="A161" s="10" t="n">
        <x:v>150</x:v>
      </x:c>
      <x:c r="B161" s="16" t="n">
        <x:v>0.5420291876653209</x:v>
      </x:c>
      <x:c r="C161" s="16" t="n">
        <x:v>0.36947281507309526</x:v>
      </x:c>
      <x:c r="D161" s="10" t="n">
        <x:f>IF(B161&lt;=$B$7,1,2)</x:f>
        <x:v>1</x:v>
      </x:c>
      <x:c r="E161" s="11" t="n">
        <x:f>IF(B161&lt;=$B$7,-$B$8*LN(C161),-$B$9*LN(C161))</x:f>
        <x:v>4.246551191527304</x:v>
      </x:c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</x:row>
    <x:row r="162">
      <x:c r="A162" s="10" t="n">
        <x:v>151</x:v>
      </x:c>
      <x:c r="B162" s="16" t="n">
        <x:v>0.9733837406383827</x:v>
      </x:c>
      <x:c r="C162" s="16" t="n">
        <x:v>0.8067603007657453</x:v>
      </x:c>
      <x:c r="D162" s="10" t="n">
        <x:f>IF(B162&lt;=$B$7,1,2)</x:f>
        <x:v>2</x:v>
      </x:c>
      <x:c r="E162" s="11" t="n">
        <x:f>IF(B162&lt;=$B$7,-$B$8*LN(C162),-$B$9*LN(C162))</x:f>
        <x:v>14.425954680720753</x:v>
      </x:c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</x:row>
    <x:row r="163">
      <x:c r="A163" s="10" t="n">
        <x:v>152</x:v>
      </x:c>
      <x:c r="B163" s="16" t="n">
        <x:v>0.9255062990123406</x:v>
      </x:c>
      <x:c r="C163" s="16" t="n">
        <x:v>0.6082377129932866</x:v>
      </x:c>
      <x:c r="D163" s="10" t="n">
        <x:f>IF(B163&lt;=$B$7,1,2)</x:f>
        <x:v>1</x:v>
      </x:c>
      <x:c r="E163" s="11" t="n">
        <x:f>IF(B163&lt;=$B$7,-$B$8*LN(C163),-$B$9*LN(C163))</x:f>
        <x:v>2.120505238578182</x:v>
      </x:c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</x:row>
    <x:row r="164">
      <x:c r="A164" s="10" t="n">
        <x:v>153</x:v>
      </x:c>
      <x:c r="B164" s="16" t="n">
        <x:v>0.11509434704203159</x:v>
      </x:c>
      <x:c r="C164" s="16" t="n">
        <x:v>0.6538843343732879</x:v>
      </x:c>
      <x:c r="D164" s="10" t="n">
        <x:f>IF(B164&lt;=$B$7,1,2)</x:f>
        <x:v>1</x:v>
      </x:c>
      <x:c r="E164" s="11" t="n">
        <x:f>IF(B164&lt;=$B$7,-$B$8*LN(C164),-$B$9*LN(C164))</x:f>
        <x:v>1.8118709694821495</x:v>
      </x:c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</x:row>
    <x:row r="165">
      <x:c r="A165" s="10" t="n">
        <x:v>154</x:v>
      </x:c>
      <x:c r="B165" s="16" t="n">
        <x:v>0.05754689371678978</x:v>
      </x:c>
      <x:c r="C165" s="16" t="n">
        <x:v>0.47913813625928015</x:v>
      </x:c>
      <x:c r="D165" s="10" t="n">
        <x:f>IF(B165&lt;=$B$7,1,2)</x:f>
        <x:v>1</x:v>
      </x:c>
      <x:c r="E165" s="11" t="n">
        <x:f>IF(B165&lt;=$B$7,-$B$8*LN(C165),-$B$9*LN(C165))</x:f>
        <x:v>3.138031637899945</x:v>
      </x:c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</x:row>
    <x:row r="166">
      <x:c r="A166" s="10" t="n">
        <x:v>155</x:v>
      </x:c>
      <x:c r="B166" s="16" t="n">
        <x:v>0.6421311750309542</x:v>
      </x:c>
      <x:c r="C166" s="16" t="n">
        <x:v>0.6299925957573578</x:v>
      </x:c>
      <x:c r="D166" s="10" t="n">
        <x:f>IF(B166&lt;=$B$7,1,2)</x:f>
        <x:v>1</x:v>
      </x:c>
      <x:c r="E166" s="11" t="n">
        <x:f>IF(B166&lt;=$B$7,-$B$8*LN(C166),-$B$9*LN(C166))</x:f>
        <x:v>1.9706239535596901</x:v>
      </x:c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</x:row>
    <x:row r="167">
      <x:c r="A167" s="10" t="n">
        <x:v>156</x:v>
      </x:c>
      <x:c r="B167" s="16" t="n">
        <x:v>0.661327212699689</x:v>
      </x:c>
      <x:c r="C167" s="16" t="n">
        <x:v>0.9145931465318426</x:v>
      </x:c>
      <x:c r="D167" s="10" t="n">
        <x:f>IF(B167&lt;=$B$7,1,2)</x:f>
        <x:v>1</x:v>
      </x:c>
      <x:c r="E167" s="11" t="n">
        <x:f>IF(B167&lt;=$B$7,-$B$8*LN(C167),-$B$9*LN(C167))</x:f>
        <x:v>0.3807605432235692</x:v>
      </x:c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</x:row>
    <x:row r="168">
      <x:c r="A168" s="10" t="n">
        <x:v>157</x:v>
      </x:c>
      <x:c r="B168" s="16" t="n">
        <x:v>0.39310511213261634</x:v>
      </x:c>
      <x:c r="C168" s="16" t="n">
        <x:v>0.5226467399625108</x:v>
      </x:c>
      <x:c r="D168" s="10" t="n">
        <x:f>IF(B168&lt;=$B$7,1,2)</x:f>
        <x:v>1</x:v>
      </x:c>
      <x:c r="E168" s="11" t="n">
        <x:f>IF(B168&lt;=$B$7,-$B$8*LN(C168),-$B$9*LN(C168))</x:f>
        <x:v>2.7673326834325787</x:v>
      </x:c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</x:row>
    <x:row r="169">
      <x:c r="A169" s="10" t="n">
        <x:v>158</x:v>
      </x:c>
      <x:c r="B169" s="16" t="n">
        <x:v>0.8007102949777618</x:v>
      </x:c>
      <x:c r="C169" s="16" t="n">
        <x:v>0.5396220557158813</x:v>
      </x:c>
      <x:c r="D169" s="10" t="n">
        <x:f>IF(B169&lt;=$B$7,1,2)</x:f>
        <x:v>1</x:v>
      </x:c>
      <x:c r="E169" s="11" t="n">
        <x:f>IF(B169&lt;=$B$7,-$B$8*LN(C169),-$B$9*LN(C169))</x:f>
        <x:v>2.6310100998799744</x:v>
      </x:c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</x:row>
    <x:row r="170">
      <x:c r="A170" s="10" t="n">
        <x:v>159</x:v>
      </x:c>
      <x:c r="B170" s="16" t="n">
        <x:v>0.638164674048312</x:v>
      </x:c>
      <x:c r="C170" s="16" t="n">
        <x:v>0.2899444632930681</x:v>
      </x:c>
      <x:c r="D170" s="10" t="n">
        <x:f>IF(B170&lt;=$B$7,1,2)</x:f>
        <x:v>1</x:v>
      </x:c>
      <x:c r="E170" s="11" t="n">
        <x:f>IF(B170&lt;=$B$7,-$B$8*LN(C170),-$B$9*LN(C170))</x:f>
        <x:v>5.280331130709246</x:v>
      </x:c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</x:row>
    <x:row r="171">
      <x:c r="A171" s="10" t="n">
        <x:v>160</x:v>
      </x:c>
      <x:c r="B171" s="16" t="n">
        <x:v>0.04363709094468504</x:v>
      </x:c>
      <x:c r="C171" s="16" t="n">
        <x:v>0.2646788986166939</x:v>
      </x:c>
      <x:c r="D171" s="10" t="n">
        <x:f>IF(B171&lt;=$B$7,1,2)</x:f>
        <x:v>1</x:v>
      </x:c>
      <x:c r="E171" s="11" t="n">
        <x:f>IF(B171&lt;=$B$7,-$B$8*LN(C171),-$B$9*LN(C171))</x:f>
        <x:v>5.669178295151353</x:v>
      </x:c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</x:row>
    <x:row r="172">
      <x:c r="A172" s="10" t="n">
        <x:v>161</x:v>
      </x:c>
      <x:c r="B172" s="16" t="n">
        <x:v>0.8795941491844133</x:v>
      </x:c>
      <x:c r="C172" s="16" t="n">
        <x:v>0.6870453822193667</x:v>
      </x:c>
      <x:c r="D172" s="10" t="n">
        <x:f>IF(B172&lt;=$B$7,1,2)</x:f>
        <x:v>1</x:v>
      </x:c>
      <x:c r="E172" s="11" t="n">
        <x:f>IF(B172&lt;=$B$7,-$B$8*LN(C172),-$B$9*LN(C172))</x:f>
        <x:v>1.6008827605220068</x:v>
      </x:c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</x:row>
    <x:row r="173">
      <x:c r="A173" s="10" t="n">
        <x:v>162</x:v>
      </x:c>
      <x:c r="B173" s="16" t="n">
        <x:v>0.45071288815233856</x:v>
      </x:c>
      <x:c r="C173" s="16" t="n">
        <x:v>0.106025968096219</x:v>
      </x:c>
      <x:c r="D173" s="10" t="n">
        <x:f>IF(B173&lt;=$B$7,1,2)</x:f>
        <x:v>1</x:v>
      </x:c>
      <x:c r="E173" s="11" t="n">
        <x:f>IF(B173&lt;=$B$7,-$B$8*LN(C173),-$B$9*LN(C173))</x:f>
        <x:v>9.570927831469913</x:v>
      </x:c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</x:row>
    <x:row r="174">
      <x:c r="A174" s="10" t="n">
        <x:v>163</x:v>
      </x:c>
      <x:c r="B174" s="16" t="n">
        <x:v>0.11041955568362027</x:v>
      </x:c>
      <x:c r="C174" s="16" t="n">
        <x:v>0.34679847478400916</x:v>
      </x:c>
      <x:c r="D174" s="10" t="n">
        <x:f>IF(B174&lt;=$B$7,1,2)</x:f>
        <x:v>1</x:v>
      </x:c>
      <x:c r="E174" s="11" t="n">
        <x:f>IF(B174&lt;=$B$7,-$B$8*LN(C174),-$B$9*LN(C174))</x:f>
        <x:v>4.5166667798268</x:v>
      </x:c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</x:row>
    <x:row r="175">
      <x:c r="A175" s="10" t="n">
        <x:v>164</x:v>
      </x:c>
      <x:c r="B175" s="16" t="n">
        <x:v>0.9671140495920554</x:v>
      </x:c>
      <x:c r="C175" s="16" t="n">
        <x:v>0.7492714127292857</x:v>
      </x:c>
      <x:c r="D175" s="10" t="n">
        <x:f>IF(B175&lt;=$B$7,1,2)</x:f>
        <x:v>2</x:v>
      </x:c>
      <x:c r="E175" s="11" t="n">
        <x:f>IF(B175&lt;=$B$7,-$B$8*LN(C175),-$B$9*LN(C175))</x:f>
        <x:v>19.392423229769324</x:v>
      </x:c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</x:row>
    <x:row r="176">
      <x:c r="A176" s="10" t="n">
        <x:v>165</x:v>
      </x:c>
      <x:c r="B176" s="16" t="n">
        <x:v>0.2341474109562114</x:v>
      </x:c>
      <x:c r="C176" s="16" t="n">
        <x:v>0.45509608450811356</x:v>
      </x:c>
      <x:c r="D176" s="10" t="n">
        <x:f>IF(B176&lt;=$B$7,1,2)</x:f>
        <x:v>1</x:v>
      </x:c>
      <x:c r="E176" s="11" t="n">
        <x:f>IF(B176&lt;=$B$7,-$B$8*LN(C176),-$B$9*LN(C176))</x:f>
        <x:v>3.3575945868345345</x:v>
      </x:c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</x:row>
    <x:row r="177">
      <x:c r="A177" s="10" t="n">
        <x:v>166</x:v>
      </x:c>
      <x:c r="B177" s="16" t="n">
        <x:v>0.04594006447587162</x:v>
      </x:c>
      <x:c r="C177" s="16" t="n">
        <x:v>0.6216958969598636</x:v>
      </x:c>
      <x:c r="D177" s="10" t="n">
        <x:f>IF(B177&lt;=$B$7,1,2)</x:f>
        <x:v>1</x:v>
      </x:c>
      <x:c r="E177" s="11" t="n">
        <x:f>IF(B177&lt;=$B$7,-$B$8*LN(C177),-$B$9*LN(C177))</x:f>
        <x:v>2.0271648673830422</x:v>
      </x:c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</x:row>
    <x:row r="178">
      <x:c r="A178" s="10" t="n">
        <x:v>167</x:v>
      </x:c>
      <x:c r="B178" s="16" t="n">
        <x:v>0.598761313711293</x:v>
      </x:c>
      <x:c r="C178" s="16" t="n">
        <x:v>0.41157948679756373</x:v>
      </x:c>
      <x:c r="D178" s="10" t="n">
        <x:f>IF(B178&lt;=$B$7,1,2)</x:f>
        <x:v>1</x:v>
      </x:c>
      <x:c r="E178" s="11" t="n">
        <x:f>IF(B178&lt;=$B$7,-$B$8*LN(C178),-$B$9*LN(C178))</x:f>
        <x:v>3.7862527988047057</x:v>
      </x:c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</x:row>
    <x:row r="179">
      <x:c r="A179" s="10" t="n">
        <x:v>168</x:v>
      </x:c>
      <x:c r="B179" s="16" t="n">
        <x:v>0.5811359115177765</x:v>
      </x:c>
      <x:c r="C179" s="16" t="n">
        <x:v>0.4889933237573132</x:v>
      </x:c>
      <x:c r="D179" s="10" t="n">
        <x:f>IF(B179&lt;=$B$7,1,2)</x:f>
        <x:v>1</x:v>
      </x:c>
      <x:c r="E179" s="11" t="n">
        <x:f>IF(B179&lt;=$B$7,-$B$8*LN(C179),-$B$9*LN(C179))</x:f>
        <x:v>3.0511970077695447</x:v>
      </x:c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</x:row>
    <x:row r="180">
      <x:c r="A180" s="10" t="n">
        <x:v>169</x:v>
      </x:c>
      <x:c r="B180" s="16" t="n">
        <x:v>0.8481013384880498</x:v>
      </x:c>
      <x:c r="C180" s="16" t="n">
        <x:v>0.11632101784925908</x:v>
      </x:c>
      <x:c r="D180" s="10" t="n">
        <x:f>IF(B180&lt;=$B$7,1,2)</x:f>
        <x:v>1</x:v>
      </x:c>
      <x:c r="E180" s="11" t="n">
        <x:f>IF(B180&lt;=$B$7,-$B$8*LN(C180),-$B$9*LN(C180))</x:f>
        <x:v>9.175692969772228</x:v>
      </x:c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</x:row>
    <x:row r="181">
      <x:c r="A181" s="10" t="n">
        <x:v>170</x:v>
      </x:c>
      <x:c r="B181" s="16" t="n">
        <x:v>0.47810973471496254</x:v>
      </x:c>
      <x:c r="C181" s="16" t="n">
        <x:v>0.8420506197726354</x:v>
      </x:c>
      <x:c r="D181" s="10" t="n">
        <x:f>IF(B181&lt;=$B$7,1,2)</x:f>
        <x:v>1</x:v>
      </x:c>
      <x:c r="E181" s="11" t="n">
        <x:f>IF(B181&lt;=$B$7,-$B$8*LN(C181),-$B$9*LN(C181))</x:f>
        <x:v>0.7332153503277973</x:v>
      </x:c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</x:row>
    <x:row r="182">
      <x:c r="A182" s="10" t="n">
        <x:v>171</x:v>
      </x:c>
      <x:c r="B182" s="16" t="n">
        <x:v>0.5437512426869944</x:v>
      </x:c>
      <x:c r="C182" s="16" t="n">
        <x:v>0.7731077660573646</x:v>
      </x:c>
      <x:c r="D182" s="10" t="n">
        <x:f>IF(B182&lt;=$B$7,1,2)</x:f>
        <x:v>1</x:v>
      </x:c>
      <x:c r="E182" s="11" t="n">
        <x:f>IF(B182&lt;=$B$7,-$B$8*LN(C182),-$B$9*LN(C182))</x:f>
        <x:v>1.0975374431091924</x:v>
      </x:c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</x:row>
    <x:row r="183">
      <x:c r="A183" s="10" t="n">
        <x:v>172</x:v>
      </x:c>
      <x:c r="B183" s="16" t="n">
        <x:v>0.4401708316290751</x:v>
      </x:c>
      <x:c r="C183" s="16" t="n">
        <x:v>0.5893915829947218</x:v>
      </x:c>
      <x:c r="D183" s="10" t="n">
        <x:f>IF(B183&lt;=$B$7,1,2)</x:f>
        <x:v>1</x:v>
      </x:c>
      <x:c r="E183" s="11" t="n">
        <x:f>IF(B183&lt;=$B$7,-$B$8*LN(C183),-$B$9*LN(C183))</x:f>
        <x:v>2.2547455718916347</x:v>
      </x:c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</x:row>
    <x:row r="184">
      <x:c r="A184" s="10" t="n">
        <x:v>173</x:v>
      </x:c>
      <x:c r="B184" s="16" t="n">
        <x:v>0.26055848610121757</x:v>
      </x:c>
      <x:c r="C184" s="16" t="n">
        <x:v>0.3499518259195611</x:v>
      </x:c>
      <x:c r="D184" s="10" t="n">
        <x:f>IF(B184&lt;=$B$7,1,2)</x:f>
        <x:v>1</x:v>
      </x:c>
      <x:c r="E184" s="11" t="n">
        <x:f>IF(B184&lt;=$B$7,-$B$8*LN(C184),-$B$9*LN(C184))</x:f>
        <x:v>4.478061604195746</x:v>
      </x:c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</x:row>
    <x:row r="185">
      <x:c r="A185" s="10" t="n">
        <x:v>174</x:v>
      </x:c>
      <x:c r="B185" s="16" t="n">
        <x:v>0.7989129541674629</x:v>
      </x:c>
      <x:c r="C185" s="16" t="n">
        <x:v>0.8209097929066047</x:v>
      </x:c>
      <x:c r="D185" s="10" t="n">
        <x:f>IF(B185&lt;=$B$7,1,2)</x:f>
        <x:v>1</x:v>
      </x:c>
      <x:c r="E185" s="11" t="n">
        <x:f>IF(B185&lt;=$B$7,-$B$8*LN(C185),-$B$9*LN(C185))</x:f>
        <x:v>0.8416606804487919</x:v>
      </x:c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</x:row>
    <x:row r="186">
      <x:c r="A186" s="10" t="n">
        <x:v>175</x:v>
      </x:c>
      <x:c r="B186" s="16" t="n">
        <x:v>0.10891206294763833</x:v>
      </x:c>
      <x:c r="C186" s="16" t="n">
        <x:v>0.0874521144432947</x:v>
      </x:c>
      <x:c r="D186" s="10" t="n">
        <x:f>IF(B186&lt;=$B$7,1,2)</x:f>
        <x:v>1</x:v>
      </x:c>
      <x:c r="E186" s="11" t="n">
        <x:f>IF(B186&lt;=$B$7,-$B$8*LN(C186),-$B$9*LN(C186))</x:f>
        <x:v>10.39233246474669</x:v>
      </x:c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</x:row>
    <x:row r="187">
      <x:c r="A187" s="10" t="n">
        <x:v>176</x:v>
      </x:c>
      <x:c r="B187" s="16" t="n">
        <x:v>0.4666679218644276</x:v>
      </x:c>
      <x:c r="C187" s="16" t="n">
        <x:v>0.6585155831417069</x:v>
      </x:c>
      <x:c r="D187" s="10" t="n">
        <x:f>IF(B187&lt;=$B$7,1,2)</x:f>
        <x:v>1</x:v>
      </x:c>
      <x:c r="E187" s="11" t="n">
        <x:f>IF(B187&lt;=$B$7,-$B$8*LN(C187),-$B$9*LN(C187))</x:f>
        <x:v>1.7817699560998768</x:v>
      </x:c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</x:row>
    <x:row r="188">
      <x:c r="A188" s="10" t="n">
        <x:v>177</x:v>
      </x:c>
      <x:c r="B188" s="16" t="n">
        <x:v>0.8869031463982537</x:v>
      </x:c>
      <x:c r="C188" s="16" t="n">
        <x:v>0.6956327500520274</x:v>
      </x:c>
      <x:c r="D188" s="10" t="n">
        <x:f>IF(B188&lt;=$B$7,1,2)</x:f>
        <x:v>1</x:v>
      </x:c>
      <x:c r="E188" s="11" t="n">
        <x:f>IF(B188&lt;=$B$7,-$B$8*LN(C188),-$B$9*LN(C188))</x:f>
        <x:v>1.547905200239411</x:v>
      </x:c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</x:row>
    <x:row r="189">
      <x:c r="A189" s="10" t="n">
        <x:v>178</x:v>
      </x:c>
      <x:c r="B189" s="16" t="n">
        <x:v>0.3391545476624742</x:v>
      </x:c>
      <x:c r="C189" s="16" t="n">
        <x:v>0.45932207664009184</x:v>
      </x:c>
      <x:c r="D189" s="10" t="n">
        <x:f>IF(B189&lt;=$B$7,1,2)</x:f>
        <x:v>1</x:v>
      </x:c>
      <x:c r="E189" s="11" t="n">
        <x:f>IF(B189&lt;=$B$7,-$B$8*LN(C189),-$B$9*LN(C189))</x:f>
        <x:v>3.3181729791294194</x:v>
      </x:c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</x:row>
    <x:row r="190">
      <x:c r="A190" s="10" t="n">
        <x:v>179</x:v>
      </x:c>
      <x:c r="B190" s="16" t="n">
        <x:v>0.315493545611389</x:v>
      </x:c>
      <x:c r="C190" s="16" t="n">
        <x:v>0.12988299399148673</x:v>
      </x:c>
      <x:c r="D190" s="10" t="n">
        <x:f>IF(B190&lt;=$B$7,1,2)</x:f>
        <x:v>1</x:v>
      </x:c>
      <x:c r="E190" s="11" t="n">
        <x:f>IF(B190&lt;=$B$7,-$B$8*LN(C190),-$B$9*LN(C190))</x:f>
        <x:v>8.705349536424862</x:v>
      </x:c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</x:row>
    <x:row r="191">
      <x:c r="A191" s="10" t="n">
        <x:v>180</x:v>
      </x:c>
      <x:c r="B191" s="16" t="n">
        <x:v>0.7264478761935607</x:v>
      </x:c>
      <x:c r="C191" s="16" t="n">
        <x:v>0.8869952833047137</x:v>
      </x:c>
      <x:c r="D191" s="10" t="n">
        <x:f>IF(B191&lt;=$B$7,1,2)</x:f>
        <x:v>1</x:v>
      </x:c>
      <x:c r="E191" s="11" t="n">
        <x:f>IF(B191&lt;=$B$7,-$B$8*LN(C191),-$B$9*LN(C191))</x:f>
        <x:v>0.5114381723896944</x:v>
      </x:c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</x:row>
    <x:row r="192">
      <x:c r="A192" s="10" t="n">
        <x:v>181</x:v>
      </x:c>
      <x:c r="B192" s="16" t="n">
        <x:v>0.05981697526294738</x:v>
      </x:c>
      <x:c r="C192" s="16" t="n">
        <x:v>0.08662375423591584</x:v>
      </x:c>
      <x:c r="D192" s="10" t="n">
        <x:f>IF(B192&lt;=$B$7,1,2)</x:f>
        <x:v>1</x:v>
      </x:c>
      <x:c r="E192" s="11" t="n">
        <x:f>IF(B192&lt;=$B$7,-$B$8*LN(C192),-$B$9*LN(C192))</x:f>
        <x:v>10.432923612717584</x:v>
      </x:c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</x:row>
    <x:row r="193">
      <x:c r="A193" s="10" t="n">
        <x:v>182</x:v>
      </x:c>
      <x:c r="B193" s="16" t="n">
        <x:v>0.6403937345603481</x:v>
      </x:c>
      <x:c r="C193" s="16" t="n">
        <x:v>0.6168932601576671</x:v>
      </x:c>
      <x:c r="D193" s="10" t="n">
        <x:f>IF(B193&lt;=$B$7,1,2)</x:f>
        <x:v>1</x:v>
      </x:c>
      <x:c r="E193" s="11" t="n">
        <x:f>IF(B193&lt;=$B$7,-$B$8*LN(C193),-$B$9*LN(C193))</x:f>
        <x:v>2.060240034406281</x:v>
      </x:c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</x:row>
    <x:row r="194">
      <x:c r="A194" s="10" t="n">
        <x:v>183</x:v>
      </x:c>
      <x:c r="B194" s="16" t="n">
        <x:v>0.4897381375776604</x:v>
      </x:c>
      <x:c r="C194" s="16" t="n">
        <x:v>0.6093256518943235</x:v>
      </x:c>
      <x:c r="D194" s="10" t="n">
        <x:f>IF(B194&lt;=$B$7,1,2)</x:f>
        <x:v>1</x:v>
      </x:c>
      <x:c r="E194" s="11" t="n">
        <x:f>IF(B194&lt;=$B$7,-$B$8*LN(C194),-$B$9*LN(C194))</x:f>
        <x:v>2.1128833876914537</x:v>
      </x:c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</x:row>
    <x:row r="195">
      <x:c r="A195" s="10" t="n">
        <x:v>184</x:v>
      </x:c>
      <x:c r="B195" s="16" t="n">
        <x:v>0.016593595617450774</x:v>
      </x:c>
      <x:c r="C195" s="16" t="n">
        <x:v>0.6906193339964375</x:v>
      </x:c>
      <x:c r="D195" s="10" t="n">
        <x:f>IF(B195&lt;=$B$7,1,2)</x:f>
        <x:v>1</x:v>
      </x:c>
      <x:c r="E195" s="11" t="n">
        <x:f>IF(B195&lt;=$B$7,-$B$8*LN(C195),-$B$9*LN(C195))</x:f>
        <x:v>1.5787541815617427</x:v>
      </x:c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</x:row>
    <x:row r="196">
      <x:c r="A196" s="10" t="n">
        <x:v>185</x:v>
      </x:c>
      <x:c r="B196" s="16" t="n">
        <x:v>0.38279461686033756</x:v>
      </x:c>
      <x:c r="C196" s="16" t="n">
        <x:v>0.4455036501167342</x:v>
      </x:c>
      <x:c r="D196" s="10" t="n">
        <x:f>IF(B196&lt;=$B$7,1,2)</x:f>
        <x:v>1</x:v>
      </x:c>
      <x:c r="E196" s="11" t="n">
        <x:f>IF(B196&lt;=$B$7,-$B$8*LN(C196),-$B$9*LN(C196))</x:f>
        <x:v>3.4484520999552326</x:v>
      </x:c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</x:row>
    <x:row r="197">
      <x:c r="A197" s="10" t="n">
        <x:v>186</x:v>
      </x:c>
      <x:c r="B197" s="16" t="n">
        <x:v>0.19908475375268608</x:v>
      </x:c>
      <x:c r="C197" s="16" t="n">
        <x:v>0.7856143865501508</x:v>
      </x:c>
      <x:c r="D197" s="10" t="n">
        <x:f>IF(B197&lt;=$B$7,1,2)</x:f>
        <x:v>1</x:v>
      </x:c>
      <x:c r="E197" s="11" t="n">
        <x:f>IF(B197&lt;=$B$7,-$B$8*LN(C197),-$B$9*LN(C197))</x:f>
        <x:v>1.0290946093195175</x:v>
      </x:c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</x:row>
    <x:row r="198">
      <x:c r="A198" s="10" t="n">
        <x:v>187</x:v>
      </x:c>
      <x:c r="B198" s="16" t="n">
        <x:v>0.022646586527116597</x:v>
      </x:c>
      <x:c r="C198" s="16" t="n">
        <x:v>0.045313245500437915</x:v>
      </x:c>
      <x:c r="D198" s="10" t="n">
        <x:f>IF(B198&lt;=$B$7,1,2)</x:f>
        <x:v>1</x:v>
      </x:c>
      <x:c r="E198" s="11" t="n">
        <x:f>IF(B198&lt;=$B$7,-$B$8*LN(C198),-$B$9*LN(C198))</x:f>
        <x:v>13.196525283271262</x:v>
      </x:c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</x:row>
    <x:row r="199">
      <x:c r="A199" s="10" t="n">
        <x:v>188</x:v>
      </x:c>
      <x:c r="B199" s="16" t="n">
        <x:v>0.26584081316832453</x:v>
      </x:c>
      <x:c r="C199" s="16" t="n">
        <x:v>0.9154132021358237</x:v>
      </x:c>
      <x:c r="D199" s="10" t="n">
        <x:f>IF(B199&lt;=$B$7,1,2)</x:f>
        <x:v>1</x:v>
      </x:c>
      <x:c r="E199" s="11" t="n">
        <x:f>IF(B199&lt;=$B$7,-$B$8*LN(C199),-$B$9*LN(C199))</x:f>
        <x:v>0.3769381256230563</x:v>
      </x:c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</x:row>
    <x:row r="200">
      <x:c r="A200" s="10" t="n">
        <x:v>189</x:v>
      </x:c>
      <x:c r="B200" s="16" t="n">
        <x:v>0.3961593286367133</x:v>
      </x:c>
      <x:c r="C200" s="16" t="n">
        <x:v>0.3423732219962403</x:v>
      </x:c>
      <x:c r="D200" s="10" t="n">
        <x:f>IF(B200&lt;=$B$7,1,2)</x:f>
        <x:v>1</x:v>
      </x:c>
      <x:c r="E200" s="11" t="n">
        <x:f>IF(B200&lt;=$B$7,-$B$8*LN(C200),-$B$9*LN(C200))</x:f>
        <x:v>4.571439463269583</x:v>
      </x:c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</x:row>
    <x:row r="201">
      <x:c r="A201" s="10" t="n">
        <x:v>190</x:v>
      </x:c>
      <x:c r="B201" s="16" t="n">
        <x:v>0.023217488662339747</x:v>
      </x:c>
      <x:c r="C201" s="16" t="n">
        <x:v>0.3261898778146133</x:v>
      </x:c>
      <x:c r="D201" s="10" t="n">
        <x:f>IF(B201&lt;=$B$7,1,2)</x:f>
        <x:v>1</x:v>
      </x:c>
      <x:c r="E201" s="11" t="n">
        <x:f>IF(B201&lt;=$B$7,-$B$8*LN(C201),-$B$9*LN(C201))</x:f>
        <x:v>4.777957558755542</x:v>
      </x:c>
      <x:c r="F201" s="13"/>
      <x:c r="G201" s="13"/>
      <x:c r="H201" s="13"/>
      <x:c r="I201" s="13"/>
      <x:c r="J201" s="13"/>
      <x:c r="K201" s="13"/>
      <x:c r="L201" s="13"/>
      <x:c r="M201" s="13"/>
      <x:c r="N201" s="13"/>
      <x:c r="O201" s="13"/>
    </x:row>
    <x:row r="202">
      <x:c r="A202" s="10" t="n">
        <x:v>191</x:v>
      </x:c>
      <x:c r="B202" s="16" t="n">
        <x:v>0.4422435659216717</x:v>
      </x:c>
      <x:c r="C202" s="16" t="n">
        <x:v>0.7074399673147127</x:v>
      </x:c>
      <x:c r="D202" s="10" t="n">
        <x:f>IF(B202&lt;=$B$7,1,2)</x:f>
        <x:v>1</x:v>
      </x:c>
      <x:c r="E202" s="11" t="n">
        <x:f>IF(B202&lt;=$B$7,-$B$8*LN(C202),-$B$9*LN(C202))</x:f>
        <x:v>1.4761216348144655</x:v>
      </x:c>
      <x:c r="F202" s="13"/>
      <x:c r="G202" s="13"/>
      <x:c r="H202" s="13"/>
      <x:c r="I202" s="13"/>
      <x:c r="J202" s="13"/>
      <x:c r="K202" s="13"/>
      <x:c r="L202" s="13"/>
      <x:c r="M202" s="13"/>
      <x:c r="N202" s="13"/>
      <x:c r="O202" s="13"/>
    </x:row>
    <x:row r="203">
      <x:c r="A203" s="10" t="n">
        <x:v>192</x:v>
      </x:c>
      <x:c r="B203" s="16" t="n">
        <x:v>0.7474687189096585</x:v>
      </x:c>
      <x:c r="C203" s="16" t="n">
        <x:v>0.6052172960480675</x:v>
      </x:c>
      <x:c r="D203" s="10" t="n">
        <x:f>IF(B203&lt;=$B$7,1,2)</x:f>
        <x:v>1</x:v>
      </x:c>
      <x:c r="E203" s="11" t="n">
        <x:f>IF(B203&lt;=$B$7,-$B$8*LN(C203),-$B$9*LN(C203))</x:f>
        <x:v>2.1417372683721587</x:v>
      </x:c>
      <x:c r="F203" s="13"/>
      <x:c r="G203" s="13"/>
      <x:c r="H203" s="13"/>
      <x:c r="I203" s="13"/>
      <x:c r="J203" s="13"/>
      <x:c r="K203" s="13"/>
      <x:c r="L203" s="13"/>
      <x:c r="M203" s="13"/>
      <x:c r="N203" s="13"/>
      <x:c r="O203" s="13"/>
    </x:row>
    <x:row r="204">
      <x:c r="A204" s="10" t="n">
        <x:v>193</x:v>
      </x:c>
      <x:c r="B204" s="16" t="n">
        <x:v>0.5555786063196138</x:v>
      </x:c>
      <x:c r="C204" s="16" t="n">
        <x:v>0.715558351832442</x:v>
      </x:c>
      <x:c r="D204" s="10" t="n">
        <x:f>IF(B204&lt;=$B$7,1,2)</x:f>
        <x:v>1</x:v>
      </x:c>
      <x:c r="E204" s="11" t="n">
        <x:f>IF(B204&lt;=$B$7,-$B$8*LN(C204),-$B$9*LN(C204))</x:f>
        <x:v>1.427456566109737</x:v>
      </x:c>
      <x:c r="F204" s="13"/>
      <x:c r="G204" s="13"/>
      <x:c r="H204" s="13"/>
      <x:c r="I204" s="13"/>
      <x:c r="J204" s="13"/>
      <x:c r="K204" s="13"/>
      <x:c r="L204" s="13"/>
      <x:c r="M204" s="13"/>
      <x:c r="N204" s="13"/>
      <x:c r="O204" s="13"/>
    </x:row>
    <x:row r="205">
      <x:c r="A205" s="10" t="n">
        <x:v>194</x:v>
      </x:c>
      <x:c r="B205" s="16" t="n">
        <x:v>0.001458092243410647</x:v>
      </x:c>
      <x:c r="C205" s="16" t="n">
        <x:v>0.2668656598543748</x:v>
      </x:c>
      <x:c r="D205" s="10" t="n">
        <x:f>IF(B205&lt;=$B$7,1,2)</x:f>
        <x:v>1</x:v>
      </x:c>
      <x:c r="E205" s="11" t="n">
        <x:f>IF(B205&lt;=$B$7,-$B$8*LN(C205),-$B$9*LN(C205))</x:f>
        <x:v>5.634086018919004</x:v>
      </x:c>
      <x:c r="F205" s="13"/>
      <x:c r="G205" s="13"/>
      <x:c r="H205" s="13"/>
      <x:c r="I205" s="13"/>
      <x:c r="J205" s="13"/>
      <x:c r="K205" s="13"/>
      <x:c r="L205" s="13"/>
      <x:c r="M205" s="13"/>
      <x:c r="N205" s="13"/>
      <x:c r="O205" s="13"/>
    </x:row>
    <x:row r="206">
      <x:c r="A206" s="10" t="n">
        <x:v>195</x:v>
      </x:c>
      <x:c r="B206" s="16" t="n">
        <x:v>0.7983433000044897</x:v>
      </x:c>
      <x:c r="C206" s="16" t="n">
        <x:v>0.6173141699982807</x:v>
      </x:c>
      <x:c r="D206" s="10" t="n">
        <x:f>IF(B206&lt;=$B$7,1,2)</x:f>
        <x:v>1</x:v>
      </x:c>
      <x:c r="E206" s="11" t="n">
        <x:f>IF(B206&lt;=$B$7,-$B$8*LN(C206),-$B$9*LN(C206))</x:f>
        <x:v>2.057331003480041</x:v>
      </x:c>
      <x:c r="F206" s="13"/>
      <x:c r="G206" s="13"/>
      <x:c r="H206" s="13"/>
      <x:c r="I206" s="13"/>
      <x:c r="J206" s="13"/>
      <x:c r="K206" s="13"/>
      <x:c r="L206" s="13"/>
      <x:c r="M206" s="13"/>
      <x:c r="N206" s="13"/>
      <x:c r="O206" s="13"/>
    </x:row>
    <x:row r="207">
      <x:c r="A207" s="10" t="n">
        <x:v>196</x:v>
      </x:c>
      <x:c r="B207" s="16" t="n">
        <x:v>0.10469058493617922</x:v>
      </x:c>
      <x:c r="C207" s="16" t="n">
        <x:v>0.33176509046461433</x:v>
      </x:c>
      <x:c r="D207" s="10" t="n">
        <x:f>IF(B207&lt;=$B$7,1,2)</x:f>
        <x:v>1</x:v>
      </x:c>
      <x:c r="E207" s="11" t="n">
        <x:f>IF(B207&lt;=$B$7,-$B$8*LN(C207),-$B$9*LN(C207))</x:f>
        <x:v>4.705676740639686</x:v>
      </x:c>
      <x:c r="F207" s="13"/>
      <x:c r="G207" s="13"/>
      <x:c r="H207" s="13"/>
      <x:c r="I207" s="13"/>
      <x:c r="J207" s="13"/>
      <x:c r="K207" s="13"/>
      <x:c r="L207" s="13"/>
      <x:c r="M207" s="13"/>
      <x:c r="N207" s="13"/>
      <x:c r="O207" s="13"/>
    </x:row>
    <x:row r="208">
      <x:c r="A208" s="10" t="n">
        <x:v>197</x:v>
      </x:c>
      <x:c r="B208" s="16" t="n">
        <x:v>0.5230798089178279</x:v>
      </x:c>
      <x:c r="C208" s="16" t="n">
        <x:v>0.654813144239597</x:v>
      </x:c>
      <x:c r="D208" s="10" t="n">
        <x:f>IF(B208&lt;=$B$7,1,2)</x:f>
        <x:v>1</x:v>
      </x:c>
      <x:c r="E208" s="11" t="n">
        <x:f>IF(B208&lt;=$B$7,-$B$8*LN(C208),-$B$9*LN(C208))</x:f>
        <x:v>1.8058170725057388</x:v>
      </x:c>
      <x:c r="F208" s="13"/>
      <x:c r="G208" s="13"/>
      <x:c r="H208" s="13"/>
      <x:c r="I208" s="13"/>
      <x:c r="J208" s="13"/>
      <x:c r="K208" s="13"/>
      <x:c r="L208" s="13"/>
      <x:c r="M208" s="13"/>
      <x:c r="N208" s="13"/>
      <x:c r="O208" s="13"/>
    </x:row>
    <x:row r="209">
      <x:c r="A209" s="10" t="n">
        <x:v>198</x:v>
      </x:c>
      <x:c r="B209" s="16" t="n">
        <x:v>0.08478961198125035</x:v>
      </x:c>
      <x:c r="C209" s="16" t="n">
        <x:v>0.6647572874790058</x:v>
      </x:c>
      <x:c r="D209" s="10" t="n">
        <x:f>IF(B209&lt;=$B$7,1,2)</x:f>
        <x:v>1</x:v>
      </x:c>
      <x:c r="E209" s="11" t="n">
        <x:f>IF(B209&lt;=$B$7,-$B$8*LN(C209),-$B$9*LN(C209))</x:f>
        <x:v>1.7415349192401544</x:v>
      </x:c>
      <x:c r="F209" s="13"/>
      <x:c r="G209" s="13"/>
      <x:c r="H209" s="13"/>
      <x:c r="I209" s="13"/>
      <x:c r="J209" s="13"/>
      <x:c r="K209" s="13"/>
      <x:c r="L209" s="13"/>
      <x:c r="M209" s="13"/>
      <x:c r="N209" s="13"/>
      <x:c r="O209" s="13"/>
    </x:row>
    <x:row r="210">
      <x:c r="A210" s="10" t="n">
        <x:v>199</x:v>
      </x:c>
      <x:c r="B210" s="16" t="n">
        <x:v>0.35981518879998475</x:v>
      </x:c>
      <x:c r="C210" s="16" t="n">
        <x:v>0.6130114913685247</x:v>
      </x:c>
      <x:c r="D210" s="10" t="n">
        <x:f>IF(B210&lt;=$B$7,1,2)</x:f>
        <x:v>1</x:v>
      </x:c>
      <x:c r="E210" s="11" t="n">
        <x:f>IF(B210&lt;=$B$7,-$B$8*LN(C210),-$B$9*LN(C210))</x:f>
        <x:v>2.0871620161381297</x:v>
      </x:c>
      <x:c r="F210" s="13"/>
      <x:c r="G210" s="13"/>
      <x:c r="H210" s="13"/>
      <x:c r="I210" s="13"/>
      <x:c r="J210" s="13"/>
      <x:c r="K210" s="13"/>
      <x:c r="L210" s="13"/>
      <x:c r="M210" s="13"/>
      <x:c r="N210" s="13"/>
      <x:c r="O210" s="13"/>
    </x:row>
    <x:row r="211">
      <x:c r="A211" s="10" t="n">
        <x:v>200</x:v>
      </x:c>
      <x:c r="B211" s="16" t="n">
        <x:v>0.18854439037386328</x:v>
      </x:c>
      <x:c r="C211" s="16" t="n">
        <x:v>0.08726125152315944</x:v>
      </x:c>
      <x:c r="D211" s="10" t="n">
        <x:f>IF(B211&lt;=$B$7,1,2)</x:f>
        <x:v>1</x:v>
      </x:c>
      <x:c r="E211" s="11" t="n">
        <x:f>IF(B211&lt;=$B$7,-$B$8*LN(C211),-$B$9*LN(C211))</x:f>
        <x:v>10.401650900274692</x:v>
      </x:c>
      <x:c r="F211" s="13"/>
      <x:c r="G211" s="13"/>
      <x:c r="H211" s="13"/>
      <x:c r="I211" s="13"/>
      <x:c r="J211" s="13"/>
      <x:c r="K211" s="13"/>
      <x:c r="L211" s="13"/>
      <x:c r="M211" s="13"/>
      <x:c r="N211" s="13"/>
      <x:c r="O211" s="13"/>
    </x:row>
    <x:row r="212">
      <x:c r="A212" s="10" t="n">
        <x:v>201</x:v>
      </x:c>
      <x:c r="B212" s="16" t="n">
        <x:v>0.7705657837213948</x:v>
      </x:c>
      <x:c r="C212" s="16" t="n">
        <x:v>0.24702305148821324</x:v>
      </x:c>
      <x:c r="D212" s="10" t="n">
        <x:f>IF(B212&lt;=$B$7,1,2)</x:f>
        <x:v>1</x:v>
      </x:c>
      <x:c r="E212" s="11" t="n">
        <x:f>IF(B212&lt;=$B$7,-$B$8*LN(C212),-$B$9*LN(C212))</x:f>
        <x:v>5.963614576023522</x:v>
      </x:c>
      <x:c r="F212" s="13"/>
      <x:c r="G212" s="13"/>
      <x:c r="H212" s="13"/>
      <x:c r="I212" s="13"/>
      <x:c r="J212" s="13"/>
      <x:c r="K212" s="13"/>
      <x:c r="L212" s="13"/>
      <x:c r="M212" s="13"/>
      <x:c r="N212" s="13"/>
      <x:c r="O212" s="13"/>
    </x:row>
    <x:row r="213">
      <x:c r="A213" s="10" t="n">
        <x:v>202</x:v>
      </x:c>
      <x:c r="B213" s="16" t="n">
        <x:v>0.2806526148924604</x:v>
      </x:c>
      <x:c r="C213" s="16" t="n">
        <x:v>0.5296780694043264</x:v>
      </x:c>
      <x:c r="D213" s="10" t="n">
        <x:f>IF(B213&lt;=$B$7,1,2)</x:f>
        <x:v>1</x:v>
      </x:c>
      <x:c r="E213" s="11" t="n">
        <x:f>IF(B213&lt;=$B$7,-$B$8*LN(C213),-$B$9*LN(C213))</x:f>
        <x:v>2.7103370612239557</x:v>
      </x:c>
      <x:c r="F213" s="13"/>
      <x:c r="G213" s="13"/>
      <x:c r="H213" s="13"/>
      <x:c r="I213" s="13"/>
      <x:c r="J213" s="13"/>
      <x:c r="K213" s="13"/>
      <x:c r="L213" s="13"/>
      <x:c r="M213" s="13"/>
      <x:c r="N213" s="13"/>
      <x:c r="O213" s="13"/>
    </x:row>
    <x:row r="214">
      <x:c r="A214" s="10" t="n">
        <x:v>203</x:v>
      </x:c>
      <x:c r="B214" s="16" t="n">
        <x:v>0.6243494331138209</x:v>
      </x:c>
      <x:c r="C214" s="16" t="n">
        <x:v>0.4760279793990776</x:v>
      </x:c>
      <x:c r="D214" s="10" t="n">
        <x:f>IF(B214&lt;=$B$7,1,2)</x:f>
        <x:v>1</x:v>
      </x:c>
      <x:c r="E214" s="11" t="n">
        <x:f>IF(B214&lt;=$B$7,-$B$8*LN(C214),-$B$9*LN(C214))</x:f>
        <x:v>3.1658065260787627</x:v>
      </x:c>
      <x:c r="F214" s="13"/>
      <x:c r="G214" s="13"/>
      <x:c r="H214" s="13"/>
      <x:c r="I214" s="13"/>
      <x:c r="J214" s="13"/>
      <x:c r="K214" s="13"/>
      <x:c r="L214" s="13"/>
      <x:c r="M214" s="13"/>
      <x:c r="N214" s="13"/>
      <x:c r="O214" s="13"/>
    </x:row>
    <x:row r="215">
      <x:c r="A215" s="10" t="n">
        <x:v>204</x:v>
      </x:c>
      <x:c r="B215" s="16" t="n">
        <x:v>0.7082834463799372</x:v>
      </x:c>
      <x:c r="C215" s="16" t="n">
        <x:v>0.7394597617676482</x:v>
      </x:c>
      <x:c r="D215" s="10" t="n">
        <x:f>IF(B215&lt;=$B$7,1,2)</x:f>
        <x:v>1</x:v>
      </x:c>
      <x:c r="E215" s="11" t="n">
        <x:f>IF(B215&lt;=$B$7,-$B$8*LN(C215),-$B$9*LN(C215))</x:f>
        <x:v>1.2873231892261856</x:v>
      </x:c>
      <x:c r="F215" s="13"/>
      <x:c r="G215" s="13"/>
      <x:c r="H215" s="13"/>
      <x:c r="I215" s="13"/>
      <x:c r="J215" s="13"/>
      <x:c r="K215" s="13"/>
      <x:c r="L215" s="13"/>
      <x:c r="M215" s="13"/>
      <x:c r="N215" s="13"/>
      <x:c r="O215" s="13"/>
    </x:row>
    <x:row r="216">
      <x:c r="A216" s="10" t="n">
        <x:v>205</x:v>
      </x:c>
      <x:c r="B216" s="16" t="n">
        <x:v>0.4958304913016036</x:v>
      </x:c>
      <x:c r="C216" s="16" t="n">
        <x:v>0.48440799850504845</x:v>
      </x:c>
      <x:c r="D216" s="10" t="n">
        <x:f>IF(B216&lt;=$B$7,1,2)</x:f>
        <x:v>1</x:v>
      </x:c>
      <x:c r="E216" s="11" t="n">
        <x:f>IF(B216&lt;=$B$7,-$B$8*LN(C216),-$B$9*LN(C216))</x:f>
        <x:v>3.0913787558231904</x:v>
      </x:c>
      <x:c r="F216" s="13"/>
      <x:c r="G216" s="13"/>
      <x:c r="H216" s="13"/>
      <x:c r="I216" s="13"/>
      <x:c r="J216" s="13"/>
      <x:c r="K216" s="13"/>
      <x:c r="L216" s="13"/>
      <x:c r="M216" s="13"/>
      <x:c r="N216" s="13"/>
      <x:c r="O216" s="13"/>
    </x:row>
    <x:row r="217">
      <x:c r="A217" s="10" t="n">
        <x:v>206</x:v>
      </x:c>
      <x:c r="B217" s="16" t="n">
        <x:v>0.4595858125248924</x:v>
      </x:c>
      <x:c r="C217" s="16" t="n">
        <x:v>0.310467193252407</x:v>
      </x:c>
      <x:c r="D217" s="10" t="n">
        <x:f>IF(B217&lt;=$B$7,1,2)</x:f>
        <x:v>1</x:v>
      </x:c>
      <x:c r="E217" s="11" t="n">
        <x:f>IF(B217&lt;=$B$7,-$B$8*LN(C217),-$B$9*LN(C217))</x:f>
        <x:v>4.988653827773649</x:v>
      </x:c>
      <x:c r="F217" s="13"/>
      <x:c r="G217" s="13"/>
      <x:c r="H217" s="13"/>
      <x:c r="I217" s="13"/>
      <x:c r="J217" s="13"/>
      <x:c r="K217" s="13"/>
      <x:c r="L217" s="13"/>
      <x:c r="M217" s="13"/>
      <x:c r="N217" s="13"/>
      <x:c r="O217" s="13"/>
    </x:row>
    <x:row r="218">
      <x:c r="A218" s="10" t="n">
        <x:v>207</x:v>
      </x:c>
      <x:c r="B218" s="16" t="n">
        <x:v>0.6407226595329121</x:v>
      </x:c>
      <x:c r="C218" s="16" t="n">
        <x:v>0.12073321721982211</x:v>
      </x:c>
      <x:c r="D218" s="10" t="n">
        <x:f>IF(B218&lt;=$B$7,1,2)</x:f>
        <x:v>1</x:v>
      </x:c>
      <x:c r="E218" s="11" t="n">
        <x:f>IF(B218&lt;=$B$7,-$B$8*LN(C218),-$B$9*LN(C218))</x:f>
        <x:v>9.016909617447736</x:v>
      </x:c>
      <x:c r="F218" s="13"/>
      <x:c r="G218" s="13"/>
      <x:c r="H218" s="13"/>
      <x:c r="I218" s="13"/>
      <x:c r="J218" s="13"/>
      <x:c r="K218" s="13"/>
      <x:c r="L218" s="13"/>
      <x:c r="M218" s="13"/>
      <x:c r="N218" s="13"/>
      <x:c r="O218" s="13"/>
    </x:row>
    <x:row r="219">
      <x:c r="A219" s="10" t="n">
        <x:v>208</x:v>
      </x:c>
      <x:c r="B219" s="16" t="n">
        <x:v>0.6942670211428776</x:v>
      </x:c>
      <x:c r="C219" s="16" t="n">
        <x:v>0.04924204514827579</x:v>
      </x:c>
      <x:c r="D219" s="10" t="n">
        <x:f>IF(B219&lt;=$B$7,1,2)</x:f>
        <x:v>1</x:v>
      </x:c>
      <x:c r="E219" s="11" t="n">
        <x:f>IF(B219&lt;=$B$7,-$B$8*LN(C219),-$B$9*LN(C219))</x:f>
        <x:v>12.84189847773647</x:v>
      </x:c>
      <x:c r="F219" s="13"/>
      <x:c r="G219" s="13"/>
      <x:c r="H219" s="13"/>
      <x:c r="I219" s="13"/>
      <x:c r="J219" s="13"/>
      <x:c r="K219" s="13"/>
      <x:c r="L219" s="13"/>
      <x:c r="M219" s="13"/>
      <x:c r="N219" s="13"/>
      <x:c r="O219" s="13"/>
    </x:row>
    <x:row r="220">
      <x:c r="A220" s="10" t="n">
        <x:v>209</x:v>
      </x:c>
      <x:c r="B220" s="16" t="n">
        <x:v>0.8510746305109933</x:v>
      </x:c>
      <x:c r="C220" s="16" t="n">
        <x:v>0.23522550787311047</x:v>
      </x:c>
      <x:c r="D220" s="10" t="n">
        <x:f>IF(B220&lt;=$B$7,1,2)</x:f>
        <x:v>1</x:v>
      </x:c>
      <x:c r="E220" s="11" t="n">
        <x:f>IF(B220&lt;=$B$7,-$B$8*LN(C220),-$B$9*LN(C220))</x:f>
        <x:v>6.172330080058651</x:v>
      </x:c>
      <x:c r="F220" s="13"/>
      <x:c r="G220" s="13"/>
      <x:c r="H220" s="13"/>
      <x:c r="I220" s="13"/>
      <x:c r="J220" s="13"/>
      <x:c r="K220" s="13"/>
      <x:c r="L220" s="13"/>
      <x:c r="M220" s="13"/>
      <x:c r="N220" s="13"/>
      <x:c r="O220" s="13"/>
    </x:row>
    <x:row r="221">
      <x:c r="A221" s="10" t="n">
        <x:v>210</x:v>
      </x:c>
      <x:c r="B221" s="16" t="n">
        <x:v>0.9743666859576479</x:v>
      </x:c>
      <x:c r="C221" s="16" t="n">
        <x:v>0.943817850551568</x:v>
      </x:c>
      <x:c r="D221" s="10" t="n">
        <x:f>IF(B221&lt;=$B$7,1,2)</x:f>
        <x:v>2</x:v>
      </x:c>
      <x:c r="E221" s="11" t="n">
        <x:f>IF(B221&lt;=$B$7,-$B$8*LN(C221),-$B$9*LN(C221))</x:f>
        <x:v>3.884617546256273</x:v>
      </x:c>
      <x:c r="F221" s="13"/>
      <x:c r="G221" s="13"/>
      <x:c r="H221" s="13"/>
      <x:c r="I221" s="13"/>
      <x:c r="J221" s="13"/>
      <x:c r="K221" s="13"/>
      <x:c r="L221" s="13"/>
      <x:c r="M221" s="13"/>
      <x:c r="N221" s="13"/>
      <x:c r="O221" s="13"/>
    </x:row>
    <x:row r="222">
      <x:c r="A222" s="10" t="n">
        <x:v>211</x:v>
      </x:c>
      <x:c r="B222" s="16" t="n">
        <x:v>0.6435635454254225</x:v>
      </x:c>
      <x:c r="C222" s="16" t="n">
        <x:v>0.8463234481168911</x:v>
      </x:c>
      <x:c r="D222" s="10" t="n">
        <x:f>IF(B222&lt;=$B$7,1,2)</x:f>
        <x:v>1</x:v>
      </x:c>
      <x:c r="E222" s="11" t="n">
        <x:f>IF(B222&lt;=$B$7,-$B$8*LN(C222),-$B$9*LN(C222))</x:f>
        <x:v>0.7116282107966815</x:v>
      </x:c>
      <x:c r="F222" s="13"/>
      <x:c r="G222" s="13"/>
      <x:c r="H222" s="13"/>
      <x:c r="I222" s="13"/>
      <x:c r="J222" s="13"/>
      <x:c r="K222" s="13"/>
      <x:c r="L222" s="13"/>
      <x:c r="M222" s="13"/>
      <x:c r="N222" s="13"/>
      <x:c r="O222" s="13"/>
    </x:row>
    <x:row r="223">
      <x:c r="A223" s="10" t="n">
        <x:v>212</x:v>
      </x:c>
      <x:c r="B223" s="16" t="n">
        <x:v>0.7733509648824111</x:v>
      </x:c>
      <x:c r="C223" s="16" t="n">
        <x:v>0.25069509202148765</x:v>
      </x:c>
      <x:c r="D223" s="10" t="n">
        <x:f>IF(B223&lt;=$B$7,1,2)</x:f>
        <x:v>1</x:v>
      </x:c>
      <x:c r="E223" s="11" t="n">
        <x:f>IF(B223&lt;=$B$7,-$B$8*LN(C223),-$B$9*LN(C223))</x:f>
        <x:v>5.900681454653611</x:v>
      </x:c>
      <x:c r="F223" s="13"/>
      <x:c r="G223" s="13"/>
      <x:c r="H223" s="13"/>
      <x:c r="I223" s="13"/>
      <x:c r="J223" s="13"/>
      <x:c r="K223" s="13"/>
      <x:c r="L223" s="13"/>
      <x:c r="M223" s="13"/>
      <x:c r="N223" s="13"/>
      <x:c r="O223" s="13"/>
    </x:row>
    <x:row r="224">
      <x:c r="A224" s="10" t="n">
        <x:v>213</x:v>
      </x:c>
      <x:c r="B224" s="16" t="n">
        <x:v>0.48392126348335296</x:v>
      </x:c>
      <x:c r="C224" s="16" t="n">
        <x:v>0.2769738248316571</x:v>
      </x:c>
      <x:c r="D224" s="10" t="n">
        <x:f>IF(B224&lt;=$B$7,1,2)</x:f>
        <x:v>1</x:v>
      </x:c>
      <x:c r="E224" s="11" t="n">
        <x:f>IF(B224&lt;=$B$7,-$B$8*LN(C224),-$B$9*LN(C224))</x:f>
        <x:v>5.475524059830529</x:v>
      </x:c>
      <x:c r="F224" s="13"/>
      <x:c r="G224" s="13"/>
      <x:c r="H224" s="13"/>
      <x:c r="I224" s="13"/>
      <x:c r="J224" s="13"/>
      <x:c r="K224" s="13"/>
      <x:c r="L224" s="13"/>
      <x:c r="M224" s="13"/>
      <x:c r="N224" s="13"/>
      <x:c r="O224" s="13"/>
    </x:row>
    <x:row r="225">
      <x:c r="A225" s="10" t="n">
        <x:v>214</x:v>
      </x:c>
      <x:c r="B225" s="16" t="n">
        <x:v>0.09165211080107838</x:v>
      </x:c>
      <x:c r="C225" s="16" t="n">
        <x:v>0.46560536173637956</x:v>
      </x:c>
      <x:c r="D225" s="10" t="n">
        <x:f>IF(B225&lt;=$B$7,1,2)</x:f>
        <x:v>1</x:v>
      </x:c>
      <x:c r="E225" s="11" t="n">
        <x:f>IF(B225&lt;=$B$7,-$B$8*LN(C225),-$B$9*LN(C225))</x:f>
        <x:v>3.2602256822192515</x:v>
      </x:c>
      <x:c r="F225" s="13"/>
      <x:c r="G225" s="13"/>
      <x:c r="H225" s="13"/>
      <x:c r="I225" s="13"/>
      <x:c r="J225" s="13"/>
      <x:c r="K225" s="13"/>
      <x:c r="L225" s="13"/>
      <x:c r="M225" s="13"/>
      <x:c r="N225" s="13"/>
      <x:c r="O225" s="13"/>
    </x:row>
    <x:row r="226">
      <x:c r="A226" s="10" t="n">
        <x:v>215</x:v>
      </x:c>
      <x:c r="B226" s="16" t="n">
        <x:v>0.0006184439407661557</x:v>
      </x:c>
      <x:c r="C226" s="16" t="n">
        <x:v>0.6512747005326673</x:v>
      </x:c>
      <x:c r="D226" s="10" t="n">
        <x:f>IF(B226&lt;=$B$7,1,2)</x:f>
        <x:v>1</x:v>
      </x:c>
      <x:c r="E226" s="11" t="n">
        <x:f>IF(B226&lt;=$B$7,-$B$8*LN(C226),-$B$9*LN(C226))</x:f>
        <x:v>1.8289264562507261</x:v>
      </x:c>
      <x:c r="F226" s="13"/>
      <x:c r="G226" s="13"/>
      <x:c r="H226" s="13"/>
      <x:c r="I226" s="13"/>
      <x:c r="J226" s="13"/>
      <x:c r="K226" s="13"/>
      <x:c r="L226" s="13"/>
      <x:c r="M226" s="13"/>
      <x:c r="N226" s="13"/>
      <x:c r="O226" s="13"/>
    </x:row>
    <x:row r="227">
      <x:c r="A227" s="10" t="n">
        <x:v>216</x:v>
      </x:c>
      <x:c r="B227" s="16" t="n">
        <x:v>0.25677833484951407</x:v>
      </x:c>
      <x:c r="C227" s="16" t="n">
        <x:v>0.19368958414997905</x:v>
      </x:c>
      <x:c r="D227" s="10" t="n">
        <x:f>IF(B227&lt;=$B$7,1,2)</x:f>
        <x:v>1</x:v>
      </x:c>
      <x:c r="E227" s="11" t="n">
        <x:f>IF(B227&lt;=$B$7,-$B$8*LN(C227),-$B$9*LN(C227))</x:f>
        <x:v>7.0009647142757245</x:v>
      </x:c>
      <x:c r="F227" s="13"/>
      <x:c r="G227" s="13"/>
      <x:c r="H227" s="13"/>
      <x:c r="I227" s="13"/>
      <x:c r="J227" s="13"/>
      <x:c r="K227" s="13"/>
      <x:c r="L227" s="13"/>
      <x:c r="M227" s="13"/>
      <x:c r="N227" s="13"/>
      <x:c r="O227" s="13"/>
    </x:row>
    <x:row r="228">
      <x:c r="A228" s="10" t="n">
        <x:v>217</x:v>
      </x:c>
      <x:c r="B228" s="16" t="n">
        <x:v>0.39093144063372165</x:v>
      </x:c>
      <x:c r="C228" s="16" t="n">
        <x:v>0.3920950422761962</x:v>
      </x:c>
      <x:c r="D228" s="10" t="n">
        <x:f>IF(B228&lt;=$B$7,1,2)</x:f>
        <x:v>1</x:v>
      </x:c>
      <x:c r="E228" s="11" t="n">
        <x:f>IF(B228&lt;=$B$7,-$B$8*LN(C228),-$B$9*LN(C228))</x:f>
        <x:v>3.993095564011043</x:v>
      </x:c>
      <x:c r="F228" s="13"/>
      <x:c r="G228" s="13"/>
      <x:c r="H228" s="13"/>
      <x:c r="I228" s="13"/>
      <x:c r="J228" s="13"/>
      <x:c r="K228" s="13"/>
      <x:c r="L228" s="13"/>
      <x:c r="M228" s="13"/>
      <x:c r="N228" s="13"/>
      <x:c r="O228" s="13"/>
    </x:row>
    <x:row r="229">
      <x:c r="A229" s="10" t="n">
        <x:v>218</x:v>
      </x:c>
      <x:c r="B229" s="16" t="n">
        <x:v>0.2361189821967855</x:v>
      </x:c>
      <x:c r="C229" s="16" t="n">
        <x:v>0.1847153011476621</x:v>
      </x:c>
      <x:c r="D229" s="10" t="n">
        <x:f>IF(B229&lt;=$B$7,1,2)</x:f>
        <x:v>1</x:v>
      </x:c>
      <x:c r="E229" s="11" t="n">
        <x:f>IF(B229&lt;=$B$7,-$B$8*LN(C229),-$B$9*LN(C229))</x:f>
        <x:v>7.203300112327105</x:v>
      </x:c>
      <x:c r="F229" s="13"/>
      <x:c r="G229" s="13"/>
      <x:c r="H229" s="13"/>
      <x:c r="I229" s="13"/>
      <x:c r="J229" s="13"/>
      <x:c r="K229" s="13"/>
      <x:c r="L229" s="13"/>
      <x:c r="M229" s="13"/>
      <x:c r="N229" s="13"/>
      <x:c r="O229" s="13"/>
    </x:row>
    <x:row r="230">
      <x:c r="A230" s="10" t="n">
        <x:v>219</x:v>
      </x:c>
      <x:c r="B230" s="16" t="n">
        <x:v>0.47251700900960714</x:v>
      </x:c>
      <x:c r="C230" s="16" t="n">
        <x:v>0.6102959130657837</x:v>
      </x:c>
      <x:c r="D230" s="10" t="n">
        <x:f>IF(B230&lt;=$B$7,1,2)</x:f>
        <x:v>1</x:v>
      </x:c>
      <x:c r="E230" s="11" t="n">
        <x:f>IF(B230&lt;=$B$7,-$B$8*LN(C230),-$B$9*LN(C230))</x:f>
        <x:v>2.1060974315668615</x:v>
      </x:c>
      <x:c r="F230" s="13"/>
      <x:c r="G230" s="13"/>
      <x:c r="H230" s="13"/>
      <x:c r="I230" s="13"/>
      <x:c r="J230" s="13"/>
      <x:c r="K230" s="13"/>
      <x:c r="L230" s="13"/>
      <x:c r="M230" s="13"/>
      <x:c r="N230" s="13"/>
      <x:c r="O230" s="13"/>
    </x:row>
    <x:row r="231">
      <x:c r="A231" s="10" t="n">
        <x:v>220</x:v>
      </x:c>
      <x:c r="B231" s="16" t="n">
        <x:v>0.040570020326413214</x:v>
      </x:c>
      <x:c r="C231" s="16" t="n">
        <x:v>0.04895801970269531</x:v>
      </x:c>
      <x:c r="D231" s="10" t="n">
        <x:f>IF(B231&lt;=$B$7,1,2)</x:f>
        <x:v>1</x:v>
      </x:c>
      <x:c r="E231" s="11" t="n">
        <x:f>IF(B231&lt;=$B$7,-$B$8*LN(C231),-$B$9*LN(C231))</x:f>
        <x:v>12.866569894230745</x:v>
      </x:c>
      <x:c r="F231" s="13"/>
      <x:c r="G231" s="13"/>
      <x:c r="H231" s="13"/>
      <x:c r="I231" s="13"/>
      <x:c r="J231" s="13"/>
      <x:c r="K231" s="13"/>
      <x:c r="L231" s="13"/>
      <x:c r="M231" s="13"/>
      <x:c r="N231" s="13"/>
      <x:c r="O231" s="13"/>
    </x:row>
    <x:row r="232">
      <x:c r="A232" s="10" t="n">
        <x:v>221</x:v>
      </x:c>
      <x:c r="B232" s="16" t="n">
        <x:v>0.08361982565838844</x:v>
      </x:c>
      <x:c r="C232" s="16" t="n">
        <x:v>0.5261782257584855</x:v>
      </x:c>
      <x:c r="D232" s="10" t="n">
        <x:f>IF(B232&lt;=$B$7,1,2)</x:f>
        <x:v>1</x:v>
      </x:c>
      <x:c r="E232" s="11" t="n">
        <x:f>IF(B232&lt;=$B$7,-$B$8*LN(C232),-$B$9*LN(C232))</x:f>
        <x:v>2.7386114235160037</x:v>
      </x:c>
      <x:c r="F232" s="13"/>
      <x:c r="G232" s="13"/>
      <x:c r="H232" s="13"/>
      <x:c r="I232" s="13"/>
      <x:c r="J232" s="13"/>
      <x:c r="K232" s="13"/>
      <x:c r="L232" s="13"/>
      <x:c r="M232" s="13"/>
      <x:c r="N232" s="13"/>
      <x:c r="O232" s="13"/>
    </x:row>
    <x:row r="233">
      <x:c r="A233" s="10" t="n">
        <x:v>222</x:v>
      </x:c>
      <x:c r="B233" s="16" t="n">
        <x:v>0.047104839817620814</x:v>
      </x:c>
      <x:c r="C233" s="16" t="n">
        <x:v>0.4193716220324859</x:v>
      </x:c>
      <x:c r="D233" s="10" t="n">
        <x:f>IF(B233&lt;=$B$7,1,2)</x:f>
        <x:v>1</x:v>
      </x:c>
      <x:c r="E233" s="11" t="n">
        <x:f>IF(B233&lt;=$B$7,-$B$8*LN(C233),-$B$9*LN(C233))</x:f>
        <x:v>3.706261796499241</x:v>
      </x:c>
      <x:c r="F233" s="13"/>
      <x:c r="G233" s="13"/>
      <x:c r="H233" s="13"/>
      <x:c r="I233" s="13"/>
      <x:c r="J233" s="13"/>
      <x:c r="K233" s="13"/>
      <x:c r="L233" s="13"/>
      <x:c r="M233" s="13"/>
      <x:c r="N233" s="13"/>
      <x:c r="O233" s="13"/>
    </x:row>
    <x:row r="234">
      <x:c r="A234" s="10" t="n">
        <x:v>223</x:v>
      </x:c>
      <x:c r="B234" s="16" t="n">
        <x:v>0.7850378203438595</x:v>
      </x:c>
      <x:c r="C234" s="16" t="n">
        <x:v>0.3137820594711229</x:v>
      </x:c>
      <x:c r="D234" s="10" t="n">
        <x:f>IF(B234&lt;=$B$7,1,2)</x:f>
        <x:v>1</x:v>
      </x:c>
      <x:c r="E234" s="11" t="n">
        <x:f>IF(B234&lt;=$B$7,-$B$8*LN(C234),-$B$9*LN(C234))</x:f>
        <x:v>4.943357869129955</x:v>
      </x:c>
      <x:c r="F234" s="13"/>
      <x:c r="G234" s="13"/>
      <x:c r="H234" s="13"/>
      <x:c r="I234" s="13"/>
      <x:c r="J234" s="13"/>
      <x:c r="K234" s="13"/>
      <x:c r="L234" s="13"/>
      <x:c r="M234" s="13"/>
      <x:c r="N234" s="13"/>
      <x:c r="O234" s="13"/>
    </x:row>
    <x:row r="235">
      <x:c r="A235" s="10" t="n">
        <x:v>224</x:v>
      </x:c>
      <x:c r="B235" s="16" t="n">
        <x:v>0.31841536762658507</x:v>
      </x:c>
      <x:c r="C235" s="16" t="n">
        <x:v>0.5756728382548317</x:v>
      </x:c>
      <x:c r="D235" s="10" t="n">
        <x:f>IF(B235&lt;=$B$7,1,2)</x:f>
        <x:v>1</x:v>
      </x:c>
      <x:c r="E235" s="11" t="n">
        <x:f>IF(B235&lt;=$B$7,-$B$8*LN(C235),-$B$9*LN(C235))</x:f>
        <x:v>2.355191400878419</x:v>
      </x:c>
      <x:c r="F235" s="13"/>
      <x:c r="G235" s="13"/>
      <x:c r="H235" s="13"/>
      <x:c r="I235" s="13"/>
      <x:c r="J235" s="13"/>
      <x:c r="K235" s="13"/>
      <x:c r="L235" s="13"/>
      <x:c r="M235" s="13"/>
      <x:c r="N235" s="13"/>
      <x:c r="O235" s="13"/>
    </x:row>
    <x:row r="236">
      <x:c r="A236" s="10" t="n">
        <x:v>225</x:v>
      </x:c>
      <x:c r="B236" s="16" t="n">
        <x:v>0.06697032053489238</x:v>
      </x:c>
      <x:c r="C236" s="16" t="n">
        <x:v>0.008662538486532867</x:v>
      </x:c>
      <x:c r="D236" s="10" t="n">
        <x:f>IF(B236&lt;=$B$7,1,2)</x:f>
        <x:v>1</x:v>
      </x:c>
      <x:c r="E236" s="11" t="n">
        <x:f>IF(B236&lt;=$B$7,-$B$8*LN(C236),-$B$9*LN(C236))</x:f>
        <x:v>20.25333183521071</x:v>
      </x:c>
      <x:c r="F236" s="13"/>
      <x:c r="G236" s="13"/>
      <x:c r="H236" s="13"/>
      <x:c r="I236" s="13"/>
      <x:c r="J236" s="13"/>
      <x:c r="K236" s="13"/>
      <x:c r="L236" s="13"/>
      <x:c r="M236" s="13"/>
      <x:c r="N236" s="13"/>
      <x:c r="O236" s="13"/>
    </x:row>
    <x:row r="237">
      <x:c r="A237" s="10" t="n">
        <x:v>226</x:v>
      </x:c>
      <x:c r="B237" s="16" t="n">
        <x:v>0.24774849286768585</x:v>
      </x:c>
      <x:c r="C237" s="16" t="n">
        <x:v>0.7959647815441713</x:v>
      </x:c>
      <x:c r="D237" s="10" t="n">
        <x:f>IF(B237&lt;=$B$7,1,2)</x:f>
        <x:v>1</x:v>
      </x:c>
      <x:c r="E237" s="11" t="n">
        <x:f>IF(B237&lt;=$B$7,-$B$8*LN(C237),-$B$9*LN(C237))</x:f>
        <x:v>0.973270784840626</x:v>
      </x:c>
      <x:c r="F237" s="13"/>
      <x:c r="G237" s="13"/>
      <x:c r="H237" s="13"/>
      <x:c r="I237" s="13"/>
      <x:c r="J237" s="13"/>
      <x:c r="K237" s="13"/>
      <x:c r="L237" s="13"/>
      <x:c r="M237" s="13"/>
      <x:c r="N237" s="13"/>
      <x:c r="O237" s="13"/>
    </x:row>
    <x:row r="238">
      <x:c r="A238" s="10" t="n">
        <x:v>227</x:v>
      </x:c>
      <x:c r="B238" s="16" t="n">
        <x:v>0.5138740084366873</x:v>
      </x:c>
      <x:c r="C238" s="16" t="n">
        <x:v>0.3697672736598179</x:v>
      </x:c>
      <x:c r="D238" s="10" t="n">
        <x:f>IF(B238&lt;=$B$7,1,2)</x:f>
        <x:v>1</x:v>
      </x:c>
      <x:c r="E238" s="11" t="n">
        <x:f>IF(B238&lt;=$B$7,-$B$8*LN(C238),-$B$9*LN(C238))</x:f>
        <x:v>4.243153482887789</x:v>
      </x:c>
      <x:c r="F238" s="13"/>
      <x:c r="G238" s="13"/>
      <x:c r="H238" s="13"/>
      <x:c r="I238" s="13"/>
      <x:c r="J238" s="13"/>
      <x:c r="K238" s="13"/>
      <x:c r="L238" s="13"/>
      <x:c r="M238" s="13"/>
      <x:c r="N238" s="13"/>
      <x:c r="O238" s="13"/>
    </x:row>
    <x:row r="239">
      <x:c r="A239" s="10" t="n">
        <x:v>228</x:v>
      </x:c>
      <x:c r="B239" s="16" t="n">
        <x:v>0.10706280509475619</x:v>
      </x:c>
      <x:c r="C239" s="16" t="n">
        <x:v>0.9515245457878336</x:v>
      </x:c>
      <x:c r="D239" s="10" t="n">
        <x:f>IF(B239&lt;=$B$7,1,2)</x:f>
        <x:v>1</x:v>
      </x:c>
      <x:c r="E239" s="11" t="n">
        <x:f>IF(B239&lt;=$B$7,-$B$8*LN(C239),-$B$9*LN(C239))</x:f>
        <x:v>0.21192618178322847</x:v>
      </x:c>
      <x:c r="F239" s="13"/>
      <x:c r="G239" s="13"/>
      <x:c r="H239" s="13"/>
      <x:c r="I239" s="13"/>
      <x:c r="J239" s="13"/>
      <x:c r="K239" s="13"/>
      <x:c r="L239" s="13"/>
      <x:c r="M239" s="13"/>
      <x:c r="N239" s="13"/>
      <x:c r="O239" s="13"/>
    </x:row>
    <x:row r="240">
      <x:c r="A240" s="10" t="n">
        <x:v>229</x:v>
      </x:c>
      <x:c r="B240" s="16" t="n">
        <x:v>0.6304516905220225</x:v>
      </x:c>
      <x:c r="C240" s="16" t="n">
        <x:v>0.8360403663245961</x:v>
      </x:c>
      <x:c r="D240" s="10" t="n">
        <x:f>IF(B240&lt;=$B$7,1,2)</x:f>
        <x:v>1</x:v>
      </x:c>
      <x:c r="E240" s="11" t="n">
        <x:f>IF(B240&lt;=$B$7,-$B$8*LN(C240),-$B$9*LN(C240))</x:f>
        <x:v>0.7637664282157853</x:v>
      </x:c>
      <x:c r="F240" s="13"/>
      <x:c r="G240" s="13"/>
      <x:c r="H240" s="13"/>
      <x:c r="I240" s="13"/>
      <x:c r="J240" s="13"/>
      <x:c r="K240" s="13"/>
      <x:c r="L240" s="13"/>
      <x:c r="M240" s="13"/>
      <x:c r="N240" s="13"/>
      <x:c r="O240" s="13"/>
    </x:row>
    <x:row r="241">
      <x:c r="A241" s="10" t="n">
        <x:v>230</x:v>
      </x:c>
      <x:c r="B241" s="16" t="n">
        <x:v>0.3266306450823322</x:v>
      </x:c>
      <x:c r="C241" s="16" t="n">
        <x:v>0.11037986574228853</x:v>
      </x:c>
      <x:c r="D241" s="10" t="n">
        <x:f>IF(B241&lt;=$B$7,1,2)</x:f>
        <x:v>1</x:v>
      </x:c>
      <x:c r="E241" s="11" t="n">
        <x:f>IF(B241&lt;=$B$7,-$B$8*LN(C241),-$B$9*LN(C241))</x:f>
        <x:v>9.399289115175504</x:v>
      </x:c>
      <x:c r="F241" s="13"/>
      <x:c r="G241" s="13"/>
      <x:c r="H241" s="13"/>
      <x:c r="I241" s="13"/>
      <x:c r="J241" s="13"/>
      <x:c r="K241" s="13"/>
      <x:c r="L241" s="13"/>
      <x:c r="M241" s="13"/>
      <x:c r="N241" s="13"/>
      <x:c r="O241" s="13"/>
    </x:row>
    <x:row r="242">
      <x:c r="A242" s="10" t="n">
        <x:v>231</x:v>
      </x:c>
      <x:c r="B242" s="16" t="n">
        <x:v>0.2818988795625046</x:v>
      </x:c>
      <x:c r="C242" s="16" t="n">
        <x:v>0.9683779746992514</x:v>
      </x:c>
      <x:c r="D242" s="10" t="n">
        <x:f>IF(B242&lt;=$B$7,1,2)</x:f>
        <x:v>1</x:v>
      </x:c>
      <x:c r="E242" s="11" t="n">
        <x:f>IF(B242&lt;=$B$7,-$B$8*LN(C242),-$B$9*LN(C242))</x:f>
        <x:v>0.13704586912599953</x:v>
      </x:c>
      <x:c r="F242" s="13"/>
      <x:c r="G242" s="13"/>
      <x:c r="H242" s="13"/>
      <x:c r="I242" s="13"/>
      <x:c r="J242" s="13"/>
      <x:c r="K242" s="13"/>
      <x:c r="L242" s="13"/>
      <x:c r="M242" s="13"/>
      <x:c r="N242" s="13"/>
      <x:c r="O242" s="13"/>
    </x:row>
    <x:row r="243">
      <x:c r="A243" s="10" t="n">
        <x:v>232</x:v>
      </x:c>
      <x:c r="B243" s="16" t="n">
        <x:v>0.5842104681069031</x:v>
      </x:c>
      <x:c r="C243" s="16" t="n">
        <x:v>0.16529983968939632</x:v>
      </x:c>
      <x:c r="D243" s="10" t="n">
        <x:f>IF(B243&lt;=$B$7,1,2)</x:f>
        <x:v>1</x:v>
      </x:c>
      <x:c r="E243" s="11" t="n">
        <x:f>IF(B243&lt;=$B$7,-$B$8*LN(C243),-$B$9*LN(C243))</x:f>
        <x:v>7.676946593340719</x:v>
      </x:c>
      <x:c r="F243" s="13"/>
      <x:c r="G243" s="13"/>
      <x:c r="H243" s="13"/>
      <x:c r="I243" s="13"/>
      <x:c r="J243" s="13"/>
      <x:c r="K243" s="13"/>
      <x:c r="L243" s="13"/>
      <x:c r="M243" s="13"/>
      <x:c r="N243" s="13"/>
      <x:c r="O243" s="13"/>
    </x:row>
    <x:row r="244">
      <x:c r="A244" s="10" t="n">
        <x:v>233</x:v>
      </x:c>
      <x:c r="B244" s="16" t="n">
        <x:v>0.951533189159818</x:v>
      </x:c>
      <x:c r="C244" s="16" t="n">
        <x:v>0.01756044279318303</x:v>
      </x:c>
      <x:c r="D244" s="10" t="n">
        <x:f>IF(B244&lt;=$B$7,1,2)</x:f>
        <x:v>2</x:v>
      </x:c>
      <x:c r="E244" s="11" t="n">
        <x:f>IF(B244&lt;=$B$7,-$B$8*LN(C244),-$B$9*LN(C244))</x:f>
        <x:v>271.5577856185909</x:v>
      </x:c>
      <x:c r="F244" s="13"/>
      <x:c r="G244" s="13"/>
      <x:c r="H244" s="13"/>
      <x:c r="I244" s="13"/>
      <x:c r="J244" s="13"/>
      <x:c r="K244" s="13"/>
      <x:c r="L244" s="13"/>
      <x:c r="M244" s="13"/>
      <x:c r="N244" s="13"/>
      <x:c r="O244" s="13"/>
    </x:row>
    <x:row r="245">
      <x:c r="A245" s="10" t="n">
        <x:v>234</x:v>
      </x:c>
      <x:c r="B245" s="16" t="n">
        <x:v>0.031914519728161395</x:v>
      </x:c>
      <x:c r="C245" s="16" t="n">
        <x:v>0.751824714592658</x:v>
      </x:c>
      <x:c r="D245" s="10" t="n">
        <x:f>IF(B245&lt;=$B$7,1,2)</x:f>
        <x:v>1</x:v>
      </x:c>
      <x:c r="E245" s="11" t="n">
        <x:f>IF(B245&lt;=$B$7,-$B$8*LN(C245),-$B$9*LN(C245))</x:f>
        <x:v>1.216595524628182</x:v>
      </x:c>
      <x:c r="F245" s="13"/>
      <x:c r="G245" s="13"/>
      <x:c r="H245" s="13"/>
      <x:c r="I245" s="13"/>
      <x:c r="J245" s="13"/>
      <x:c r="K245" s="13"/>
      <x:c r="L245" s="13"/>
      <x:c r="M245" s="13"/>
      <x:c r="N245" s="13"/>
      <x:c r="O245" s="13"/>
    </x:row>
    <x:row r="246">
      <x:c r="A246" s="10" t="n">
        <x:v>235</x:v>
      </x:c>
      <x:c r="B246" s="16" t="n">
        <x:v>0.26893154077697545</x:v>
      </x:c>
      <x:c r="C246" s="16" t="n">
        <x:v>0.5087859918130562</x:v>
      </x:c>
      <x:c r="D246" s="10" t="n">
        <x:f>IF(B246&lt;=$B$7,1,2)</x:f>
        <x:v>1</x:v>
      </x:c>
      <x:c r="E246" s="11" t="n">
        <x:f>IF(B246&lt;=$B$7,-$B$8*LN(C246),-$B$9*LN(C246))</x:f>
        <x:v>2.881968230219219</x:v>
      </x:c>
      <x:c r="F246" s="13"/>
      <x:c r="G246" s="13"/>
      <x:c r="H246" s="13"/>
      <x:c r="I246" s="13"/>
      <x:c r="J246" s="13"/>
      <x:c r="K246" s="13"/>
      <x:c r="L246" s="13"/>
      <x:c r="M246" s="13"/>
      <x:c r="N246" s="13"/>
      <x:c r="O246" s="13"/>
    </x:row>
    <x:row r="247">
      <x:c r="A247" s="10" t="n">
        <x:v>236</x:v>
      </x:c>
      <x:c r="B247" s="16" t="n">
        <x:v>0.23889682407025248</x:v>
      </x:c>
      <x:c r="C247" s="16" t="n">
        <x:v>0.9719597337534651</x:v>
      </x:c>
      <x:c r="D247" s="10" t="n">
        <x:f>IF(B247&lt;=$B$7,1,2)</x:f>
        <x:v>1</x:v>
      </x:c>
      <x:c r="E247" s="11" t="n">
        <x:f>IF(B247&lt;=$B$7,-$B$8*LN(C247),-$B$9*LN(C247))</x:f>
        <x:v>0.12129998919096914</x:v>
      </x:c>
      <x:c r="F247" s="13"/>
      <x:c r="G247" s="13"/>
      <x:c r="H247" s="13"/>
      <x:c r="I247" s="13"/>
      <x:c r="J247" s="13"/>
      <x:c r="K247" s="13"/>
      <x:c r="L247" s="13"/>
      <x:c r="M247" s="13"/>
      <x:c r="N247" s="13"/>
      <x:c r="O247" s="13"/>
    </x:row>
    <x:row r="248">
      <x:c r="A248" s="10" t="n">
        <x:v>237</x:v>
      </x:c>
      <x:c r="B248" s="16" t="n">
        <x:v>0.5117001832695678</x:v>
      </x:c>
      <x:c r="C248" s="16" t="n">
        <x:v>0.9834309740690514</x:v>
      </x:c>
      <x:c r="D248" s="10" t="n">
        <x:f>IF(B248&lt;=$B$7,1,2)</x:f>
        <x:v>1</x:v>
      </x:c>
      <x:c r="E248" s="11" t="n">
        <x:f>IF(B248&lt;=$B$7,-$B$8*LN(C248),-$B$9*LN(C248))</x:f>
        <x:v>0.07125861678202779</x:v>
      </x:c>
      <x:c r="F248" s="13"/>
      <x:c r="G248" s="13"/>
      <x:c r="H248" s="13"/>
      <x:c r="I248" s="13"/>
      <x:c r="J248" s="13"/>
      <x:c r="K248" s="13"/>
      <x:c r="L248" s="13"/>
      <x:c r="M248" s="13"/>
      <x:c r="N248" s="13"/>
      <x:c r="O248" s="13"/>
    </x:row>
    <x:row r="249">
      <x:c r="A249" s="10" t="n">
        <x:v>238</x:v>
      </x:c>
      <x:c r="B249" s="16" t="n">
        <x:v>0.677986484603025</x:v>
      </x:c>
      <x:c r="C249" s="16" t="n">
        <x:v>0.68915804696735</x:v>
      </x:c>
      <x:c r="D249" s="10" t="n">
        <x:f>IF(B249&lt;=$B$7,1,2)</x:f>
        <x:v>1</x:v>
      </x:c>
      <x:c r="E249" s="11" t="n">
        <x:f>IF(B249&lt;=$B$7,-$B$8*LN(C249),-$B$9*LN(C249))</x:f>
        <x:v>1.5877880563999547</x:v>
      </x:c>
      <x:c r="F249" s="13"/>
      <x:c r="G249" s="13"/>
      <x:c r="H249" s="13"/>
      <x:c r="I249" s="13"/>
      <x:c r="J249" s="13"/>
      <x:c r="K249" s="13"/>
      <x:c r="L249" s="13"/>
      <x:c r="M249" s="13"/>
      <x:c r="N249" s="13"/>
      <x:c r="O249" s="13"/>
    </x:row>
    <x:row r="250">
      <x:c r="A250" s="10" t="n">
        <x:v>239</x:v>
      </x:c>
      <x:c r="B250" s="16" t="n">
        <x:v>0.03400252491701394</x:v>
      </x:c>
      <x:c r="C250" s="16" t="n">
        <x:v>0.28866168938111514</x:v>
      </x:c>
      <x:c r="D250" s="10" t="n">
        <x:f>IF(B250&lt;=$B$7,1,2)</x:f>
        <x:v>1</x:v>
      </x:c>
      <x:c r="E250" s="11" t="n">
        <x:f>IF(B250&lt;=$B$7,-$B$8*LN(C250),-$B$9*LN(C250))</x:f>
        <x:v>5.2992421606302615</x:v>
      </x:c>
      <x:c r="F250" s="13"/>
      <x:c r="G250" s="13"/>
      <x:c r="H250" s="13"/>
      <x:c r="I250" s="13"/>
      <x:c r="J250" s="13"/>
      <x:c r="K250" s="13"/>
      <x:c r="L250" s="13"/>
      <x:c r="M250" s="13"/>
      <x:c r="N250" s="13"/>
      <x:c r="O250" s="13"/>
    </x:row>
    <x:row r="251">
      <x:c r="A251" s="10" t="n">
        <x:v>240</x:v>
      </x:c>
      <x:c r="B251" s="16" t="n">
        <x:v>0.8343912974232808</x:v>
      </x:c>
      <x:c r="C251" s="16" t="n">
        <x:v>0.4102176831802353</x:v>
      </x:c>
      <x:c r="D251" s="10" t="n">
        <x:f>IF(B251&lt;=$B$7,1,2)</x:f>
        <x:v>1</x:v>
      </x:c>
      <x:c r="E251" s="11" t="n">
        <x:f>IF(B251&lt;=$B$7,-$B$8*LN(C251),-$B$9*LN(C251))</x:f>
        <x:v>3.800387858218891</x:v>
      </x:c>
      <x:c r="F251" s="13"/>
      <x:c r="G251" s="13"/>
      <x:c r="H251" s="13"/>
      <x:c r="I251" s="13"/>
      <x:c r="J251" s="13"/>
      <x:c r="K251" s="13"/>
      <x:c r="L251" s="13"/>
      <x:c r="M251" s="13"/>
      <x:c r="N251" s="13"/>
      <x:c r="O251" s="13"/>
    </x:row>
    <x:row r="252">
      <x:c r="A252" s="10" t="n">
        <x:v>241</x:v>
      </x:c>
      <x:c r="B252" s="16" t="n">
        <x:v>0.824969777953811</x:v>
      </x:c>
      <x:c r="C252" s="16" t="n">
        <x:v>0.05552276398520917</x:v>
      </x:c>
      <x:c r="D252" s="10" t="n">
        <x:f>IF(B252&lt;=$B$7,1,2)</x:f>
        <x:v>1</x:v>
      </x:c>
      <x:c r="E252" s="11" t="n">
        <x:f>IF(B252&lt;=$B$7,-$B$8*LN(C252),-$B$9*LN(C252))</x:f>
        <x:v>12.329907352113752</x:v>
      </x:c>
      <x:c r="F252" s="13"/>
      <x:c r="G252" s="13"/>
      <x:c r="H252" s="13"/>
      <x:c r="I252" s="13"/>
      <x:c r="J252" s="13"/>
      <x:c r="K252" s="13"/>
      <x:c r="L252" s="13"/>
      <x:c r="M252" s="13"/>
      <x:c r="N252" s="13"/>
      <x:c r="O252" s="13"/>
    </x:row>
    <x:row r="253">
      <x:c r="A253" s="10" t="n">
        <x:v>242</x:v>
      </x:c>
      <x:c r="B253" s="16" t="n">
        <x:v>0.26459667703602463</x:v>
      </x:c>
      <x:c r="C253" s="16" t="n">
        <x:v>0.019717585644684732</x:v>
      </x:c>
      <x:c r="D253" s="10" t="n">
        <x:f>IF(B253&lt;=$B$7,1,2)</x:f>
        <x:v>1</x:v>
      </x:c>
      <x:c r="E253" s="11" t="n">
        <x:f>IF(B253&lt;=$B$7,-$B$8*LN(C253),-$B$9*LN(C253))</x:f>
        <x:v>16.74536928939604</x:v>
      </x:c>
      <x:c r="F253" s="13"/>
      <x:c r="G253" s="13"/>
      <x:c r="H253" s="13"/>
      <x:c r="I253" s="13"/>
      <x:c r="J253" s="13"/>
      <x:c r="K253" s="13"/>
      <x:c r="L253" s="13"/>
      <x:c r="M253" s="13"/>
      <x:c r="N253" s="13"/>
      <x:c r="O253" s="13"/>
    </x:row>
    <x:row r="254">
      <x:c r="A254" s="10" t="n">
        <x:v>243</x:v>
      </x:c>
      <x:c r="B254" s="16" t="n">
        <x:v>0.6501194156007841</x:v>
      </x:c>
      <x:c r="C254" s="16" t="n">
        <x:v>0.25612709193956107</x:v>
      </x:c>
      <x:c r="D254" s="10" t="n">
        <x:f>IF(B254&lt;=$B$7,1,2)</x:f>
        <x:v>1</x:v>
      </x:c>
      <x:c r="E254" s="11" t="n">
        <x:f>IF(B254&lt;=$B$7,-$B$8*LN(C254),-$B$9*LN(C254))</x:f>
        <x:v>5.809255781339111</x:v>
      </x:c>
      <x:c r="F254" s="13"/>
      <x:c r="G254" s="13"/>
      <x:c r="H254" s="13"/>
      <x:c r="I254" s="13"/>
      <x:c r="J254" s="13"/>
      <x:c r="K254" s="13"/>
      <x:c r="L254" s="13"/>
      <x:c r="M254" s="13"/>
      <x:c r="N254" s="13"/>
      <x:c r="O254" s="13"/>
    </x:row>
    <x:row r="255">
      <x:c r="A255" s="10" t="n">
        <x:v>244</x:v>
      </x:c>
      <x:c r="B255" s="16" t="n">
        <x:v>0.1835848946357146</x:v>
      </x:c>
      <x:c r="C255" s="16" t="n">
        <x:v>0.8826177095761523</x:v>
      </x:c>
      <x:c r="D255" s="10" t="n">
        <x:f>IF(B255&lt;=$B$7,1,2)</x:f>
        <x:v>1</x:v>
      </x:c>
      <x:c r="E255" s="11" t="n">
        <x:f>IF(B255&lt;=$B$7,-$B$8*LN(C255),-$B$9*LN(C255))</x:f>
        <x:v>0.5325391927041093</x:v>
      </x:c>
      <x:c r="F255" s="13"/>
      <x:c r="G255" s="13"/>
      <x:c r="H255" s="13"/>
      <x:c r="I255" s="13"/>
      <x:c r="J255" s="13"/>
      <x:c r="K255" s="13"/>
      <x:c r="L255" s="13"/>
      <x:c r="M255" s="13"/>
      <x:c r="N255" s="13"/>
      <x:c r="O255" s="13"/>
    </x:row>
    <x:row r="256">
      <x:c r="A256" s="10" t="n">
        <x:v>245</x:v>
      </x:c>
      <x:c r="B256" s="16" t="n">
        <x:v>0.47890644159633666</x:v>
      </x:c>
      <x:c r="C256" s="16" t="n">
        <x:v>0.980572339030914</x:v>
      </x:c>
      <x:c r="D256" s="10" t="n">
        <x:f>IF(B256&lt;=$B$7,1,2)</x:f>
        <x:v>1</x:v>
      </x:c>
      <x:c r="E256" s="11" t="n">
        <x:f>IF(B256&lt;=$B$7,-$B$8*LN(C256),-$B$9*LN(C256))</x:f>
        <x:v>0.08367411642695839</x:v>
      </x:c>
      <x:c r="F256" s="13"/>
      <x:c r="G256" s="13"/>
      <x:c r="H256" s="13"/>
      <x:c r="I256" s="13"/>
      <x:c r="J256" s="13"/>
      <x:c r="K256" s="13"/>
      <x:c r="L256" s="13"/>
      <x:c r="M256" s="13"/>
      <x:c r="N256" s="13"/>
      <x:c r="O256" s="13"/>
    </x:row>
    <x:row r="257">
      <x:c r="A257" s="10" t="n">
        <x:v>246</x:v>
      </x:c>
      <x:c r="B257" s="16" t="n">
        <x:v>0.4084996288875118</x:v>
      </x:c>
      <x:c r="C257" s="16" t="n">
        <x:v>0.08064818230923265</x:v>
      </x:c>
      <x:c r="D257" s="10" t="n">
        <x:f>IF(B257&lt;=$B$7,1,2)</x:f>
        <x:v>1</x:v>
      </x:c>
      <x:c r="E257" s="11" t="n">
        <x:f>IF(B257&lt;=$B$7,-$B$8*LN(C257),-$B$9*LN(C257))</x:f>
        <x:v>10.737775326395102</x:v>
      </x:c>
      <x:c r="F257" s="13"/>
      <x:c r="G257" s="13"/>
      <x:c r="H257" s="13"/>
      <x:c r="I257" s="13"/>
      <x:c r="J257" s="13"/>
      <x:c r="K257" s="13"/>
      <x:c r="L257" s="13"/>
      <x:c r="M257" s="13"/>
      <x:c r="N257" s="13"/>
      <x:c r="O257" s="13"/>
    </x:row>
    <x:row r="258">
      <x:c r="A258" s="10" t="n">
        <x:v>247</x:v>
      </x:c>
      <x:c r="B258" s="16" t="n">
        <x:v>0.15153247222770005</x:v>
      </x:c>
      <x:c r="C258" s="16" t="n">
        <x:v>0.8242090091807768</x:v>
      </x:c>
      <x:c r="D258" s="10" t="n">
        <x:f>IF(B258&lt;=$B$7,1,2)</x:f>
        <x:v>1</x:v>
      </x:c>
      <x:c r="E258" s="11" t="n">
        <x:f>IF(B258&lt;=$B$7,-$B$8*LN(C258),-$B$9*LN(C258))</x:f>
        <x:v>0.8245541670917328</x:v>
      </x:c>
      <x:c r="F258" s="13"/>
      <x:c r="G258" s="13"/>
      <x:c r="H258" s="13"/>
      <x:c r="I258" s="13"/>
      <x:c r="J258" s="13"/>
      <x:c r="K258" s="13"/>
      <x:c r="L258" s="13"/>
      <x:c r="M258" s="13"/>
      <x:c r="N258" s="13"/>
      <x:c r="O258" s="13"/>
    </x:row>
    <x:row r="259">
      <x:c r="A259" s="10" t="n">
        <x:v>248</x:v>
      </x:c>
      <x:c r="B259" s="16" t="n">
        <x:v>0.7368808292085305</x:v>
      </x:c>
      <x:c r="C259" s="16" t="n">
        <x:v>0.7981125259539112</x:v>
      </x:c>
      <x:c r="D259" s="10" t="n">
        <x:f>IF(B259&lt;=$B$7,1,2)</x:f>
        <x:v>1</x:v>
      </x:c>
      <x:c r="E259" s="11" t="n">
        <x:f>IF(B259&lt;=$B$7,-$B$8*LN(C259),-$B$9*LN(C259))</x:f>
        <x:v>0.9617781163546757</x:v>
      </x:c>
      <x:c r="F259" s="13"/>
      <x:c r="G259" s="13"/>
      <x:c r="H259" s="13"/>
      <x:c r="I259" s="13"/>
      <x:c r="J259" s="13"/>
      <x:c r="K259" s="13"/>
      <x:c r="L259" s="13"/>
      <x:c r="M259" s="13"/>
      <x:c r="N259" s="13"/>
      <x:c r="O259" s="13"/>
    </x:row>
    <x:row r="260">
      <x:c r="A260" s="10" t="n">
        <x:v>249</x:v>
      </x:c>
      <x:c r="B260" s="16" t="n">
        <x:v>0.48813763086218387</x:v>
      </x:c>
      <x:c r="C260" s="16" t="n">
        <x:v>0.5258850733516738</x:v>
      </x:c>
      <x:c r="D260" s="10" t="n">
        <x:f>IF(B260&lt;=$B$7,1,2)</x:f>
        <x:v>1</x:v>
      </x:c>
      <x:c r="E260" s="11" t="n">
        <x:f>IF(B260&lt;=$B$7,-$B$8*LN(C260),-$B$9*LN(C260))</x:f>
        <x:v>2.740988258348469</x:v>
      </x:c>
      <x:c r="F260" s="13"/>
      <x:c r="G260" s="13"/>
      <x:c r="H260" s="13"/>
      <x:c r="I260" s="13"/>
      <x:c r="J260" s="13"/>
      <x:c r="K260" s="13"/>
      <x:c r="L260" s="13"/>
      <x:c r="M260" s="13"/>
      <x:c r="N260" s="13"/>
      <x:c r="O260" s="13"/>
    </x:row>
    <x:row r="261">
      <x:c r="A261" s="10" t="n">
        <x:v>250</x:v>
      </x:c>
      <x:c r="B261" s="16" t="n">
        <x:v>0.08759489154908806</x:v>
      </x:c>
      <x:c r="C261" s="16" t="n">
        <x:v>0.12272994255181402</x:v>
      </x:c>
      <x:c r="D261" s="10" t="n">
        <x:f>IF(B261&lt;=$B$7,1,2)</x:f>
        <x:v>1</x:v>
      </x:c>
      <x:c r="E261" s="11" t="n">
        <x:f>IF(B261&lt;=$B$7,-$B$8*LN(C261),-$B$9*LN(C261))</x:f>
        <x:v>8.946950840275239</x:v>
      </x:c>
      <x:c r="F261" s="13"/>
      <x:c r="G261" s="13"/>
      <x:c r="H261" s="13"/>
      <x:c r="I261" s="13"/>
      <x:c r="J261" s="13"/>
      <x:c r="K261" s="13"/>
      <x:c r="L261" s="13"/>
      <x:c r="M261" s="13"/>
      <x:c r="N261" s="13"/>
      <x:c r="O261" s="13"/>
    </x:row>
    <x:row r="262">
      <x:c r="A262" s="10" t="n">
        <x:v>251</x:v>
      </x:c>
      <x:c r="B262" s="16" t="n">
        <x:v>0.2935002549784258</x:v>
      </x:c>
      <x:c r="C262" s="16" t="n">
        <x:v>0.7477921609533951</x:v>
      </x:c>
      <x:c r="D262" s="10" t="n">
        <x:f>IF(B262&lt;=$B$7,1,2)</x:f>
        <x:v>1</x:v>
      </x:c>
      <x:c r="E262" s="11" t="n">
        <x:f>IF(B262&lt;=$B$7,-$B$8*LN(C262),-$B$9*LN(C262))</x:f>
        <x:v>1.239533140705722</x:v>
      </x:c>
      <x:c r="F262" s="13"/>
      <x:c r="G262" s="13"/>
      <x:c r="H262" s="13"/>
      <x:c r="I262" s="13"/>
      <x:c r="J262" s="13"/>
      <x:c r="K262" s="13"/>
      <x:c r="L262" s="13"/>
      <x:c r="M262" s="13"/>
      <x:c r="N262" s="13"/>
      <x:c r="O262" s="13"/>
    </x:row>
    <x:row r="263">
      <x:c r="A263" s="10" t="n">
        <x:v>252</x:v>
      </x:c>
      <x:c r="B263" s="16" t="n">
        <x:v>0.982585146673955</x:v>
      </x:c>
      <x:c r="C263" s="16" t="n">
        <x:v>0.7771416617324576</x:v>
      </x:c>
      <x:c r="D263" s="10" t="n">
        <x:f>IF(B263&lt;=$B$7,1,2)</x:f>
        <x:v>2</x:v>
      </x:c>
      <x:c r="E263" s="11" t="n">
        <x:f>IF(B263&lt;=$B$7,-$B$8*LN(C263),-$B$9*LN(C263))</x:f>
        <x:v>16.938835760424382</x:v>
      </x:c>
      <x:c r="F263" s="13"/>
      <x:c r="G263" s="13"/>
      <x:c r="H263" s="13"/>
      <x:c r="I263" s="13"/>
      <x:c r="J263" s="13"/>
      <x:c r="K263" s="13"/>
      <x:c r="L263" s="13"/>
      <x:c r="M263" s="13"/>
      <x:c r="N263" s="13"/>
      <x:c r="O263" s="13"/>
    </x:row>
    <x:row r="264">
      <x:c r="A264" s="10" t="n">
        <x:v>253</x:v>
      </x:c>
      <x:c r="B264" s="16" t="n">
        <x:v>0.9603694156976417</x:v>
      </x:c>
      <x:c r="C264" s="16" t="n">
        <x:v>0.1375383137492463</x:v>
      </x:c>
      <x:c r="D264" s="10" t="n">
        <x:f>IF(B264&lt;=$B$7,1,2)</x:f>
        <x:v>2</x:v>
      </x:c>
      <x:c r="E264" s="11" t="n">
        <x:f>IF(B264&lt;=$B$7,-$B$8*LN(C264),-$B$9*LN(C264))</x:f>
        <x:v>133.2796809108895</x:v>
      </x:c>
      <x:c r="F264" s="13"/>
      <x:c r="G264" s="13"/>
      <x:c r="H264" s="13"/>
      <x:c r="I264" s="13"/>
      <x:c r="J264" s="13"/>
      <x:c r="K264" s="13"/>
      <x:c r="L264" s="13"/>
      <x:c r="M264" s="13"/>
      <x:c r="N264" s="13"/>
      <x:c r="O264" s="13"/>
    </x:row>
    <x:row r="265">
      <x:c r="A265" s="10" t="n">
        <x:v>254</x:v>
      </x:c>
      <x:c r="B265" s="16" t="n">
        <x:v>0.197567660943605</x:v>
      </x:c>
      <x:c r="C265" s="16" t="n">
        <x:v>0.5467063508694991</x:v>
      </x:c>
      <x:c r="D265" s="10" t="n">
        <x:f>IF(B265&lt;=$B$7,1,2)</x:f>
        <x:v>1</x:v>
      </x:c>
      <x:c r="E265" s="11" t="n">
        <x:f>IF(B265&lt;=$B$7,-$B$8*LN(C265),-$B$9*LN(C265))</x:f>
        <x:v>2.5753826608858965</x:v>
      </x:c>
      <x:c r="F265" s="13"/>
      <x:c r="G265" s="13"/>
      <x:c r="H265" s="13"/>
      <x:c r="I265" s="13"/>
      <x:c r="J265" s="13"/>
      <x:c r="K265" s="13"/>
      <x:c r="L265" s="13"/>
      <x:c r="M265" s="13"/>
      <x:c r="N265" s="13"/>
      <x:c r="O265" s="13"/>
    </x:row>
    <x:row r="266">
      <x:c r="A266" s="10" t="n">
        <x:v>255</x:v>
      </x:c>
      <x:c r="B266" s="16" t="n">
        <x:v>0.6245552498148754</x:v>
      </x:c>
      <x:c r="C266" s="16" t="n">
        <x:v>0.06307230226229876</x:v>
      </x:c>
      <x:c r="D266" s="10" t="n">
        <x:f>IF(B266&lt;=$B$7,1,2)</x:f>
        <x:v>1</x:v>
      </x:c>
      <x:c r="E266" s="11" t="n">
        <x:f>IF(B266&lt;=$B$7,-$B$8*LN(C266),-$B$9*LN(C266))</x:f>
        <x:v>11.786170411467078</x:v>
      </x:c>
      <x:c r="F266" s="13"/>
      <x:c r="G266" s="13"/>
      <x:c r="H266" s="13"/>
      <x:c r="I266" s="13"/>
      <x:c r="J266" s="13"/>
      <x:c r="K266" s="13"/>
      <x:c r="L266" s="13"/>
      <x:c r="M266" s="13"/>
      <x:c r="N266" s="13"/>
      <x:c r="O266" s="13"/>
    </x:row>
    <x:row r="267">
      <x:c r="A267" s="10" t="n">
        <x:v>256</x:v>
      </x:c>
      <x:c r="B267" s="16" t="n">
        <x:v>0.6597973495954648</x:v>
      </x:c>
      <x:c r="C267" s="16" t="n">
        <x:v>0.4192095877369866</x:v>
      </x:c>
      <x:c r="D267" s="10" t="n">
        <x:f>IF(B267&lt;=$B$7,1,2)</x:f>
        <x:v>1</x:v>
      </x:c>
      <x:c r="E267" s="11" t="n">
        <x:f>IF(B267&lt;=$B$7,-$B$8*LN(C267),-$B$9*LN(C267))</x:f>
        <x:v>3.707909993890616</x:v>
      </x:c>
      <x:c r="F267" s="13"/>
      <x:c r="G267" s="13"/>
      <x:c r="H267" s="13"/>
      <x:c r="I267" s="13"/>
      <x:c r="J267" s="13"/>
      <x:c r="K267" s="13"/>
      <x:c r="L267" s="13"/>
      <x:c r="M267" s="13"/>
      <x:c r="N267" s="13"/>
      <x:c r="O267" s="13"/>
    </x:row>
    <x:row r="268">
      <x:c r="A268" s="10" t="n">
        <x:v>257</x:v>
      </x:c>
      <x:c r="B268" s="16" t="n">
        <x:v>0.07490210433024913</x:v>
      </x:c>
      <x:c r="C268" s="16" t="n">
        <x:v>0.6610845046816394</x:v>
      </x:c>
      <x:c r="D268" s="10" t="n">
        <x:f>IF(B268&lt;=$B$7,1,2)</x:f>
        <x:v>1</x:v>
      </x:c>
      <x:c r="E268" s="11" t="n">
        <x:f>IF(B268&lt;=$B$7,-$B$8*LN(C268),-$B$9*LN(C268))</x:f>
        <x:v>1.7651642842371291</x:v>
      </x:c>
      <x:c r="F268" s="13"/>
      <x:c r="G268" s="13"/>
      <x:c r="H268" s="13"/>
      <x:c r="I268" s="13"/>
      <x:c r="J268" s="13"/>
      <x:c r="K268" s="13"/>
      <x:c r="L268" s="13"/>
      <x:c r="M268" s="13"/>
      <x:c r="N268" s="13"/>
      <x:c r="O268" s="13"/>
    </x:row>
    <x:row r="269">
      <x:c r="A269" s="10" t="n">
        <x:v>258</x:v>
      </x:c>
      <x:c r="B269" s="16" t="n">
        <x:v>0.9210294025251642</x:v>
      </x:c>
      <x:c r="C269" s="16" t="n">
        <x:v>0.7021123956656083</x:v>
      </x:c>
      <x:c r="D269" s="10" t="n">
        <x:f>IF(B269&lt;=$B$7,1,2)</x:f>
        <x:v>1</x:v>
      </x:c>
      <x:c r="E269" s="11" t="n">
        <x:f>IF(B269&lt;=$B$7,-$B$8*LN(C269),-$B$9*LN(C269))</x:f>
        <x:v>1.5083618217972243</x:v>
      </x:c>
      <x:c r="F269" s="13"/>
      <x:c r="G269" s="13"/>
      <x:c r="H269" s="13"/>
      <x:c r="I269" s="13"/>
      <x:c r="J269" s="13"/>
      <x:c r="K269" s="13"/>
      <x:c r="L269" s="13"/>
      <x:c r="M269" s="13"/>
      <x:c r="N269" s="13"/>
      <x:c r="O269" s="13"/>
    </x:row>
    <x:row r="270">
      <x:c r="A270" s="10" t="n">
        <x:v>259</x:v>
      </x:c>
      <x:c r="B270" s="16" t="n">
        <x:v>0.871269493480213</x:v>
      </x:c>
      <x:c r="C270" s="16" t="n">
        <x:v>0.08950934826862067</x:v>
      </x:c>
      <x:c r="D270" s="10" t="n">
        <x:f>IF(B270&lt;=$B$7,1,2)</x:f>
        <x:v>1</x:v>
      </x:c>
      <x:c r="E270" s="11" t="n">
        <x:f>IF(B270&lt;=$B$7,-$B$8*LN(C270),-$B$9*LN(C270))</x:f>
        <x:v>10.293164380943365</x:v>
      </x:c>
      <x:c r="F270" s="13"/>
      <x:c r="G270" s="13"/>
      <x:c r="H270" s="13"/>
      <x:c r="I270" s="13"/>
      <x:c r="J270" s="13"/>
      <x:c r="K270" s="13"/>
      <x:c r="L270" s="13"/>
      <x:c r="M270" s="13"/>
      <x:c r="N270" s="13"/>
      <x:c r="O270" s="13"/>
    </x:row>
    <x:row r="271">
      <x:c r="A271" s="10" t="n">
        <x:v>260</x:v>
      </x:c>
      <x:c r="B271" s="16" t="n">
        <x:v>0.7838010225677863</x:v>
      </x:c>
      <x:c r="C271" s="16" t="n">
        <x:v>0.6329638411989436</x:v>
      </x:c>
      <x:c r="D271" s="10" t="n">
        <x:f>IF(B271&lt;=$B$7,1,2)</x:f>
        <x:v>1</x:v>
      </x:c>
      <x:c r="E271" s="11" t="n">
        <x:f>IF(B271&lt;=$B$7,-$B$8*LN(C271),-$B$9*LN(C271))</x:f>
        <x:v>1.9505562185490162</x:v>
      </x:c>
      <x:c r="F271" s="13"/>
      <x:c r="G271" s="13"/>
      <x:c r="H271" s="13"/>
      <x:c r="I271" s="13"/>
      <x:c r="J271" s="13"/>
      <x:c r="K271" s="13"/>
      <x:c r="L271" s="13"/>
      <x:c r="M271" s="13"/>
      <x:c r="N271" s="13"/>
      <x:c r="O271" s="13"/>
    </x:row>
    <x:row r="272">
      <x:c r="A272" s="10" t="n">
        <x:v>261</x:v>
      </x:c>
      <x:c r="B272" s="16" t="n">
        <x:v>0.3736458682687953</x:v>
      </x:c>
      <x:c r="C272" s="16" t="n">
        <x:v>0.12475431326311082</x:v>
      </x:c>
      <x:c r="D272" s="10" t="n">
        <x:f>IF(B272&lt;=$B$7,1,2)</x:f>
        <x:v>1</x:v>
      </x:c>
      <x:c r="E272" s="11" t="n">
        <x:f>IF(B272&lt;=$B$7,-$B$8*LN(C272),-$B$9*LN(C272))</x:f>
        <x:v>8.87717588694854</x:v>
      </x:c>
      <x:c r="F272" s="13"/>
      <x:c r="G272" s="13"/>
      <x:c r="H272" s="13"/>
      <x:c r="I272" s="13"/>
      <x:c r="J272" s="13"/>
      <x:c r="K272" s="13"/>
      <x:c r="L272" s="13"/>
      <x:c r="M272" s="13"/>
      <x:c r="N272" s="13"/>
      <x:c r="O272" s="13"/>
    </x:row>
    <x:row r="273">
      <x:c r="A273" s="10" t="n">
        <x:v>262</x:v>
      </x:c>
      <x:c r="B273" s="16" t="n">
        <x:v>0.9091584762791172</x:v>
      </x:c>
      <x:c r="C273" s="16" t="n">
        <x:v>0.24860269424971193</x:v>
      </x:c>
      <x:c r="D273" s="10" t="n">
        <x:f>IF(B273&lt;=$B$7,1,2)</x:f>
        <x:v>1</x:v>
      </x:c>
      <x:c r="E273" s="11" t="n">
        <x:f>IF(B273&lt;=$B$7,-$B$8*LN(C273),-$B$9*LN(C273))</x:f>
        <x:v>5.936428038910005</x:v>
      </x:c>
      <x:c r="F273" s="13"/>
      <x:c r="G273" s="13"/>
      <x:c r="H273" s="13"/>
      <x:c r="I273" s="13"/>
      <x:c r="J273" s="13"/>
      <x:c r="K273" s="13"/>
      <x:c r="L273" s="13"/>
      <x:c r="M273" s="13"/>
      <x:c r="N273" s="13"/>
      <x:c r="O273" s="13"/>
    </x:row>
    <x:row r="274">
      <x:c r="A274" s="10" t="n">
        <x:v>263</x:v>
      </x:c>
      <x:c r="B274" s="16" t="n">
        <x:v>0.6355201984988526</x:v>
      </x:c>
      <x:c r="C274" s="16" t="n">
        <x:v>0.4942804992897436</x:v>
      </x:c>
      <x:c r="D274" s="10" t="n">
        <x:f>IF(B274&lt;=$B$7,1,2)</x:f>
        <x:v>1</x:v>
      </x:c>
      <x:c r="E274" s="11" t="n">
        <x:f>IF(B274&lt;=$B$7,-$B$8*LN(C274),-$B$9*LN(C274))</x:f>
        <x:v>3.0053299548951675</x:v>
      </x:c>
      <x:c r="F274" s="13"/>
      <x:c r="G274" s="13"/>
      <x:c r="H274" s="13"/>
      <x:c r="I274" s="13"/>
      <x:c r="J274" s="13"/>
      <x:c r="K274" s="13"/>
      <x:c r="L274" s="13"/>
      <x:c r="M274" s="13"/>
      <x:c r="N274" s="13"/>
      <x:c r="O274" s="13"/>
    </x:row>
    <x:row r="275">
      <x:c r="A275" s="10" t="n">
        <x:v>264</x:v>
      </x:c>
      <x:c r="B275" s="16" t="n">
        <x:v>0.4839544572168961</x:v>
      </x:c>
      <x:c r="C275" s="16" t="n">
        <x:v>0.5287731507560238</x:v>
      </x:c>
      <x:c r="D275" s="10" t="n">
        <x:f>IF(B275&lt;=$B$7,1,2)</x:f>
        <x:v>1</x:v>
      </x:c>
      <x:c r="E275" s="11" t="n">
        <x:f>IF(B275&lt;=$B$7,-$B$8*LN(C275),-$B$9*LN(C275))</x:f>
        <x:v>2.717629725060201</x:v>
      </x:c>
      <x:c r="F275" s="13"/>
      <x:c r="G275" s="13"/>
      <x:c r="H275" s="13"/>
      <x:c r="I275" s="13"/>
      <x:c r="J275" s="13"/>
      <x:c r="K275" s="13"/>
      <x:c r="L275" s="13"/>
      <x:c r="M275" s="13"/>
      <x:c r="N275" s="13"/>
      <x:c r="O275" s="13"/>
    </x:row>
    <x:row r="276">
      <x:c r="A276" s="10" t="n">
        <x:v>265</x:v>
      </x:c>
      <x:c r="B276" s="16" t="n">
        <x:v>0.3646363673033193</x:v>
      </x:c>
      <x:c r="C276" s="16" t="n">
        <x:v>0.5851597542641684</x:v>
      </x:c>
      <x:c r="D276" s="10" t="n">
        <x:f>IF(B276&lt;=$B$7,1,2)</x:f>
        <x:v>1</x:v>
      </x:c>
      <x:c r="E276" s="11" t="n">
        <x:f>IF(B276&lt;=$B$7,-$B$8*LN(C276),-$B$9*LN(C276))</x:f>
        <x:v>2.2854786002698657</x:v>
      </x:c>
      <x:c r="F276" s="13"/>
      <x:c r="G276" s="13"/>
      <x:c r="H276" s="13"/>
      <x:c r="I276" s="13"/>
      <x:c r="J276" s="13"/>
      <x:c r="K276" s="13"/>
      <x:c r="L276" s="13"/>
      <x:c r="M276" s="13"/>
      <x:c r="N276" s="13"/>
      <x:c r="O276" s="13"/>
    </x:row>
    <x:row r="277">
      <x:c r="A277" s="10" t="n">
        <x:v>266</x:v>
      </x:c>
      <x:c r="B277" s="16" t="n">
        <x:v>0.2758407617220655</x:v>
      </x:c>
      <x:c r="C277" s="16" t="n">
        <x:v>0.07977961783763021</x:v>
      </x:c>
      <x:c r="D277" s="10" t="n">
        <x:f>IF(B277&lt;=$B$7,1,2)</x:f>
        <x:v>1</x:v>
      </x:c>
      <x:c r="E277" s="11" t="n">
        <x:f>IF(B277&lt;=$B$7,-$B$8*LN(C277),-$B$9*LN(C277))</x:f>
        <x:v>10.783957468623498</x:v>
      </x:c>
      <x:c r="F277" s="13"/>
      <x:c r="G277" s="13"/>
      <x:c r="H277" s="13"/>
      <x:c r="I277" s="13"/>
      <x:c r="J277" s="13"/>
      <x:c r="K277" s="13"/>
      <x:c r="L277" s="13"/>
      <x:c r="M277" s="13"/>
      <x:c r="N277" s="13"/>
      <x:c r="O277" s="13"/>
    </x:row>
    <x:row r="278">
      <x:c r="A278" s="10" t="n">
        <x:v>267</x:v>
      </x:c>
      <x:c r="B278" s="16" t="n">
        <x:v>0.4042553781764582</x:v>
      </x:c>
      <x:c r="C278" s="16" t="n">
        <x:v>0.4192333657993004</x:v>
      </x:c>
      <x:c r="D278" s="10" t="n">
        <x:f>IF(B278&lt;=$B$7,1,2)</x:f>
        <x:v>1</x:v>
      </x:c>
      <x:c r="E278" s="11" t="n">
        <x:f>IF(B278&lt;=$B$7,-$B$8*LN(C278),-$B$9*LN(C278))</x:f>
        <x:v>3.7076680858295794</x:v>
      </x:c>
      <x:c r="F278" s="13"/>
      <x:c r="G278" s="13"/>
      <x:c r="H278" s="13"/>
      <x:c r="I278" s="13"/>
      <x:c r="J278" s="13"/>
      <x:c r="K278" s="13"/>
      <x:c r="L278" s="13"/>
      <x:c r="M278" s="13"/>
      <x:c r="N278" s="13"/>
      <x:c r="O278" s="13"/>
    </x:row>
    <x:row r="279">
      <x:c r="A279" s="10" t="n">
        <x:v>268</x:v>
      </x:c>
      <x:c r="B279" s="16" t="n">
        <x:v>0.6540812772000208</x:v>
      </x:c>
      <x:c r="C279" s="16" t="n">
        <x:v>0.8738055614521727</x:v>
      </x:c>
      <x:c r="D279" s="10" t="n">
        <x:f>IF(B279&lt;=$B$7,1,2)</x:f>
        <x:v>1</x:v>
      </x:c>
      <x:c r="E279" s="11" t="n">
        <x:f>IF(B279&lt;=$B$7,-$B$8*LN(C279),-$B$9*LN(C279))</x:f>
        <x:v>0.5753352390120724</x:v>
      </x:c>
      <x:c r="F279" s="13"/>
      <x:c r="G279" s="13"/>
      <x:c r="H279" s="13"/>
      <x:c r="I279" s="13"/>
      <x:c r="J279" s="13"/>
      <x:c r="K279" s="13"/>
      <x:c r="L279" s="13"/>
      <x:c r="M279" s="13"/>
      <x:c r="N279" s="13"/>
      <x:c r="O279" s="13"/>
    </x:row>
    <x:row r="280">
      <x:c r="A280" s="10" t="n">
        <x:v>269</x:v>
      </x:c>
      <x:c r="B280" s="16" t="n">
        <x:v>0.4380503745051101</x:v>
      </x:c>
      <x:c r="C280" s="16" t="n">
        <x:v>0.03549731511157006</x:v>
      </x:c>
      <x:c r="D280" s="10" t="n">
        <x:f>IF(B280&lt;=$B$7,1,2)</x:f>
        <x:v>1</x:v>
      </x:c>
      <x:c r="E280" s="11" t="n">
        <x:f>IF(B280&lt;=$B$7,-$B$8*LN(C280),-$B$9*LN(C280))</x:f>
        <x:v>14.237788372305163</x:v>
      </x:c>
      <x:c r="F280" s="13"/>
      <x:c r="G280" s="13"/>
      <x:c r="H280" s="13"/>
      <x:c r="I280" s="13"/>
      <x:c r="J280" s="13"/>
      <x:c r="K280" s="13"/>
      <x:c r="L280" s="13"/>
      <x:c r="M280" s="13"/>
      <x:c r="N280" s="13"/>
      <x:c r="O280" s="13"/>
    </x:row>
    <x:row r="281">
      <x:c r="A281" s="10" t="n">
        <x:v>270</x:v>
      </x:c>
      <x:c r="B281" s="16" t="n">
        <x:v>0.4043102829018608</x:v>
      </x:c>
      <x:c r="C281" s="16" t="n">
        <x:v>0.8095214165514335</x:v>
      </x:c>
      <x:c r="D281" s="10" t="n">
        <x:f>IF(B281&lt;=$B$7,1,2)</x:f>
        <x:v>1</x:v>
      </x:c>
      <x:c r="E281" s="11" t="n">
        <x:f>IF(B281&lt;=$B$7,-$B$8*LN(C281),-$B$9*LN(C281))</x:f>
        <x:v>0.9012425042361053</x:v>
      </x:c>
      <x:c r="F281" s="13"/>
      <x:c r="G281" s="13"/>
      <x:c r="H281" s="13"/>
      <x:c r="I281" s="13"/>
      <x:c r="J281" s="13"/>
      <x:c r="K281" s="13"/>
      <x:c r="L281" s="13"/>
      <x:c r="M281" s="13"/>
      <x:c r="N281" s="13"/>
      <x:c r="O281" s="13"/>
    </x:row>
    <x:row r="282">
      <x:c r="A282" s="10" t="n">
        <x:v>271</x:v>
      </x:c>
      <x:c r="B282" s="16" t="n">
        <x:v>0.8717594715999439</x:v>
      </x:c>
      <x:c r="C282" s="16" t="n">
        <x:v>0.6703390934271738</x:v>
      </x:c>
      <x:c r="D282" s="10" t="n">
        <x:f>IF(B282&lt;=$B$7,1,2)</x:f>
        <x:v>1</x:v>
      </x:c>
      <x:c r="E282" s="11" t="n">
        <x:f>IF(B282&lt;=$B$7,-$B$8*LN(C282),-$B$9*LN(C282))</x:f>
        <x:v>1.705872397896736</x:v>
      </x:c>
      <x:c r="F282" s="13"/>
      <x:c r="G282" s="13"/>
      <x:c r="H282" s="13"/>
      <x:c r="I282" s="13"/>
      <x:c r="J282" s="13"/>
      <x:c r="K282" s="13"/>
      <x:c r="L282" s="13"/>
      <x:c r="M282" s="13"/>
      <x:c r="N282" s="13"/>
      <x:c r="O282" s="13"/>
    </x:row>
    <x:row r="283">
      <x:c r="A283" s="10" t="n">
        <x:v>272</x:v>
      </x:c>
      <x:c r="B283" s="16" t="n">
        <x:v>0.41536106320563704</x:v>
      </x:c>
      <x:c r="C283" s="16" t="n">
        <x:v>0.10960655973758548</x:v>
      </x:c>
      <x:c r="D283" s="10" t="n">
        <x:f>IF(B283&lt;=$B$7,1,2)</x:f>
        <x:v>1</x:v>
      </x:c>
      <x:c r="E283" s="11" t="n">
        <x:f>IF(B283&lt;=$B$7,-$B$8*LN(C283),-$B$9*LN(C283))</x:f>
        <x:v>9.429274158938277</x:v>
      </x:c>
      <x:c r="F283" s="13"/>
      <x:c r="G283" s="13"/>
      <x:c r="H283" s="13"/>
      <x:c r="I283" s="13"/>
      <x:c r="J283" s="13"/>
      <x:c r="K283" s="13"/>
      <x:c r="L283" s="13"/>
      <x:c r="M283" s="13"/>
      <x:c r="N283" s="13"/>
      <x:c r="O283" s="13"/>
    </x:row>
    <x:row r="284">
      <x:c r="A284" s="10" t="n">
        <x:v>273</x:v>
      </x:c>
      <x:c r="B284" s="16" t="n">
        <x:v>0.0947214012267068</x:v>
      </x:c>
      <x:c r="C284" s="16" t="n">
        <x:v>0.3762510808883235</x:v>
      </x:c>
      <x:c r="D284" s="10" t="n">
        <x:f>IF(B284&lt;=$B$7,1,2)</x:f>
        <x:v>1</x:v>
      </x:c>
      <x:c r="E284" s="11" t="n">
        <x:f>IF(B284&lt;=$B$7,-$B$8*LN(C284),-$B$9*LN(C284))</x:f>
        <x:v>4.169015815816077</x:v>
      </x:c>
      <x:c r="F284" s="13"/>
      <x:c r="G284" s="13"/>
      <x:c r="H284" s="13"/>
      <x:c r="I284" s="13"/>
      <x:c r="J284" s="13"/>
      <x:c r="K284" s="13"/>
      <x:c r="L284" s="13"/>
      <x:c r="M284" s="13"/>
      <x:c r="N284" s="13"/>
      <x:c r="O284" s="13"/>
    </x:row>
    <x:row r="285">
      <x:c r="A285" s="10" t="n">
        <x:v>274</x:v>
      </x:c>
      <x:c r="B285" s="16" t="n">
        <x:v>0.5662898333976045</x:v>
      </x:c>
      <x:c r="C285" s="16" t="n">
        <x:v>0.8208103444194421</x:v>
      </x:c>
      <x:c r="D285" s="10" t="n">
        <x:f>IF(B285&lt;=$B$7,1,2)</x:f>
        <x:v>1</x:v>
      </x:c>
      <x:c r="E285" s="11" t="n">
        <x:f>IF(B285&lt;=$B$7,-$B$8*LN(C285),-$B$9*LN(C285))</x:f>
        <x:v>0.8421773899588756</x:v>
      </x:c>
      <x:c r="F285" s="13"/>
      <x:c r="G285" s="13"/>
      <x:c r="H285" s="13"/>
      <x:c r="I285" s="13"/>
      <x:c r="J285" s="13"/>
      <x:c r="K285" s="13"/>
      <x:c r="L285" s="13"/>
      <x:c r="M285" s="13"/>
      <x:c r="N285" s="13"/>
      <x:c r="O285" s="13"/>
    </x:row>
    <x:row r="286">
      <x:c r="A286" s="10" t="n">
        <x:v>275</x:v>
      </x:c>
      <x:c r="B286" s="16" t="n">
        <x:v>0.5744189686374739</x:v>
      </x:c>
      <x:c r="C286" s="16" t="n">
        <x:v>0.9696454879594967</x:v>
      </x:c>
      <x:c r="D286" s="10" t="n">
        <x:f>IF(B286&lt;=$B$7,1,2)</x:f>
        <x:v>1</x:v>
      </x:c>
      <x:c r="E286" s="11" t="n">
        <x:f>IF(B286&lt;=$B$7,-$B$8*LN(C286),-$B$9*LN(C286))</x:f>
        <x:v>0.13146706720812765</x:v>
      </x:c>
      <x:c r="F286" s="13"/>
      <x:c r="G286" s="13"/>
      <x:c r="H286" s="13"/>
      <x:c r="I286" s="13"/>
      <x:c r="J286" s="13"/>
      <x:c r="K286" s="13"/>
      <x:c r="L286" s="13"/>
      <x:c r="M286" s="13"/>
      <x:c r="N286" s="13"/>
      <x:c r="O286" s="13"/>
    </x:row>
    <x:row r="287">
      <x:c r="A287" s="10" t="n">
        <x:v>276</x:v>
      </x:c>
      <x:c r="B287" s="16" t="n">
        <x:v>0.39171997795347124</x:v>
      </x:c>
      <x:c r="C287" s="16" t="n">
        <x:v>0.9321771984687075</x:v>
      </x:c>
      <x:c r="D287" s="10" t="n">
        <x:f>IF(B287&lt;=$B$7,1,2)</x:f>
        <x:v>1</x:v>
      </x:c>
      <x:c r="E287" s="11" t="n">
        <x:f>IF(B287&lt;=$B$7,-$B$8*LN(C287),-$B$9*LN(C287))</x:f>
        <x:v>0.2995398692140636</x:v>
      </x:c>
      <x:c r="F287" s="13"/>
      <x:c r="G287" s="13"/>
      <x:c r="H287" s="13"/>
      <x:c r="I287" s="13"/>
      <x:c r="J287" s="13"/>
      <x:c r="K287" s="13"/>
      <x:c r="L287" s="13"/>
      <x:c r="M287" s="13"/>
      <x:c r="N287" s="13"/>
      <x:c r="O287" s="13"/>
    </x:row>
    <x:row r="288">
      <x:c r="A288" s="10" t="n">
        <x:v>277</x:v>
      </x:c>
      <x:c r="B288" s="16" t="n">
        <x:v>0.4871553221018985</x:v>
      </x:c>
      <x:c r="C288" s="16" t="n">
        <x:v>0.44839585933368653</x:v>
      </x:c>
      <x:c r="D288" s="10" t="n">
        <x:f>IF(B288&lt;=$B$7,1,2)</x:f>
        <x:v>1</x:v>
      </x:c>
      <x:c r="E288" s="11" t="n">
        <x:f>IF(B288&lt;=$B$7,-$B$8*LN(C288),-$B$9*LN(C288))</x:f>
        <x:v>3.420853317639572</x:v>
      </x:c>
      <x:c r="F288" s="13"/>
      <x:c r="G288" s="13"/>
      <x:c r="H288" s="13"/>
      <x:c r="I288" s="13"/>
      <x:c r="J288" s="13"/>
      <x:c r="K288" s="13"/>
      <x:c r="L288" s="13"/>
      <x:c r="M288" s="13"/>
      <x:c r="N288" s="13"/>
      <x:c r="O288" s="13"/>
    </x:row>
    <x:row r="289">
      <x:c r="A289" s="10" t="n">
        <x:v>278</x:v>
      </x:c>
      <x:c r="B289" s="16" t="n">
        <x:v>0.3536316013196483</x:v>
      </x:c>
      <x:c r="C289" s="16" t="n">
        <x:v>0.8770607843762264</x:v>
      </x:c>
      <x:c r="D289" s="10" t="n">
        <x:f>IF(B289&lt;=$B$7,1,2)</x:f>
        <x:v>1</x:v>
      </x:c>
      <x:c r="E289" s="11" t="n">
        <x:f>IF(B289&lt;=$B$7,-$B$8*LN(C289),-$B$9*LN(C289))</x:f>
        <x:v>0.5594762448475002</x:v>
      </x:c>
      <x:c r="F289" s="13"/>
      <x:c r="G289" s="13"/>
      <x:c r="H289" s="13"/>
      <x:c r="I289" s="13"/>
      <x:c r="J289" s="13"/>
      <x:c r="K289" s="13"/>
      <x:c r="L289" s="13"/>
      <x:c r="M289" s="13"/>
      <x:c r="N289" s="13"/>
      <x:c r="O289" s="13"/>
    </x:row>
    <x:row r="290">
      <x:c r="A290" s="10" t="n">
        <x:v>279</x:v>
      </x:c>
      <x:c r="B290" s="16" t="n">
        <x:v>0.8379880349384621</x:v>
      </x:c>
      <x:c r="C290" s="16" t="n">
        <x:v>0.26973014033865184</x:v>
      </x:c>
      <x:c r="D290" s="10" t="n">
        <x:f>IF(B290&lt;=$B$7,1,2)</x:f>
        <x:v>1</x:v>
      </x:c>
      <x:c r="E290" s="11" t="n">
        <x:f>IF(B290&lt;=$B$7,-$B$8*LN(C290),-$B$9*LN(C290))</x:f>
        <x:v>5.588550517565523</x:v>
      </x:c>
      <x:c r="F290" s="13"/>
      <x:c r="G290" s="13"/>
      <x:c r="H290" s="13"/>
      <x:c r="I290" s="13"/>
      <x:c r="J290" s="13"/>
      <x:c r="K290" s="13"/>
      <x:c r="L290" s="13"/>
      <x:c r="M290" s="13"/>
      <x:c r="N290" s="13"/>
      <x:c r="O290" s="13"/>
    </x:row>
    <x:row r="291">
      <x:c r="A291" s="10" t="n">
        <x:v>280</x:v>
      </x:c>
      <x:c r="B291" s="16" t="n">
        <x:v>0.7977213911945</x:v>
      </x:c>
      <x:c r="C291" s="16" t="n">
        <x:v>0.43455222190823406</x:v>
      </x:c>
      <x:c r="D291" s="10" t="n">
        <x:f>IF(B291&lt;=$B$7,1,2)</x:f>
        <x:v>1</x:v>
      </x:c>
      <x:c r="E291" s="11" t="n">
        <x:f>IF(B291&lt;=$B$7,-$B$8*LN(C291),-$B$9*LN(C291))</x:f>
        <x:v>3.5546046259373014</x:v>
      </x:c>
      <x:c r="F291" s="13"/>
      <x:c r="G291" s="13"/>
      <x:c r="H291" s="13"/>
      <x:c r="I291" s="13"/>
      <x:c r="J291" s="13"/>
      <x:c r="K291" s="13"/>
      <x:c r="L291" s="13"/>
      <x:c r="M291" s="13"/>
      <x:c r="N291" s="13"/>
      <x:c r="O291" s="13"/>
    </x:row>
    <x:row r="292">
      <x:c r="A292" s="10" t="n">
        <x:v>281</x:v>
      </x:c>
      <x:c r="B292" s="16" t="n">
        <x:v>0.2730460000457242</x:v>
      </x:c>
      <x:c r="C292" s="16" t="n">
        <x:v>0.129100305843167</x:v>
      </x:c>
      <x:c r="D292" s="10" t="n">
        <x:f>IF(B292&lt;=$B$7,1,2)</x:f>
        <x:v>1</x:v>
      </x:c>
      <x:c r="E292" s="11" t="n">
        <x:f>IF(B292&lt;=$B$7,-$B$8*LN(C292),-$B$9*LN(C292))</x:f>
        <x:v>8.731128515762741</x:v>
      </x:c>
      <x:c r="F292" s="13"/>
      <x:c r="G292" s="13"/>
      <x:c r="H292" s="13"/>
      <x:c r="I292" s="13"/>
      <x:c r="J292" s="13"/>
      <x:c r="K292" s="13"/>
      <x:c r="L292" s="13"/>
      <x:c r="M292" s="13"/>
      <x:c r="N292" s="13"/>
      <x:c r="O292" s="13"/>
    </x:row>
    <x:row r="293">
      <x:c r="A293" s="10" t="n">
        <x:v>282</x:v>
      </x:c>
      <x:c r="B293" s="16" t="n">
        <x:v>0.9224577943095937</x:v>
      </x:c>
      <x:c r="C293" s="16" t="n">
        <x:v>0.29594737326260656</x:v>
      </x:c>
      <x:c r="D293" s="10" t="n">
        <x:f>IF(B293&lt;=$B$7,1,2)</x:f>
        <x:v>1</x:v>
      </x:c>
      <x:c r="E293" s="11" t="n">
        <x:f>IF(B293&lt;=$B$7,-$B$8*LN(C293),-$B$9*LN(C293))</x:f>
        <x:v>5.192932026932627</x:v>
      </x:c>
      <x:c r="F293" s="13"/>
      <x:c r="G293" s="13"/>
      <x:c r="H293" s="13"/>
      <x:c r="I293" s="13"/>
      <x:c r="J293" s="13"/>
      <x:c r="K293" s="13"/>
      <x:c r="L293" s="13"/>
      <x:c r="M293" s="13"/>
      <x:c r="N293" s="13"/>
      <x:c r="O293" s="13"/>
    </x:row>
    <x:row r="294">
      <x:c r="A294" s="10" t="n">
        <x:v>283</x:v>
      </x:c>
      <x:c r="B294" s="16" t="n">
        <x:v>0.03735413693357259</x:v>
      </x:c>
      <x:c r="C294" s="16" t="n">
        <x:v>0.13065355166327208</x:v>
      </x:c>
      <x:c r="D294" s="10" t="n">
        <x:f>IF(B294&lt;=$B$7,1,2)</x:f>
        <x:v>1</x:v>
      </x:c>
      <x:c r="E294" s="11" t="n">
        <x:f>IF(B294&lt;=$B$7,-$B$8*LN(C294),-$B$9*LN(C294))</x:f>
        <x:v>8.680121400457162</x:v>
      </x:c>
      <x:c r="F294" s="13"/>
      <x:c r="G294" s="13"/>
      <x:c r="H294" s="13"/>
      <x:c r="I294" s="13"/>
      <x:c r="J294" s="13"/>
      <x:c r="K294" s="13"/>
      <x:c r="L294" s="13"/>
      <x:c r="M294" s="13"/>
      <x:c r="N294" s="13"/>
      <x:c r="O294" s="13"/>
    </x:row>
    <x:row r="295">
      <x:c r="A295" s="10" t="n">
        <x:v>284</x:v>
      </x:c>
      <x:c r="B295" s="16" t="n">
        <x:v>0.33895650471094996</x:v>
      </x:c>
      <x:c r="C295" s="16" t="n">
        <x:v>0.8118781907251105</x:v>
      </x:c>
      <x:c r="D295" s="10" t="n">
        <x:f>IF(B295&lt;=$B$7,1,2)</x:f>
        <x:v>1</x:v>
      </x:c>
      <x:c r="E295" s="11" t="n">
        <x:f>IF(B295&lt;=$B$7,-$B$8*LN(C295),-$B$9*LN(C295))</x:f>
        <x:v>0.8888438196660583</x:v>
      </x:c>
      <x:c r="F295" s="13"/>
      <x:c r="G295" s="13"/>
      <x:c r="H295" s="13"/>
      <x:c r="I295" s="13"/>
      <x:c r="J295" s="13"/>
      <x:c r="K295" s="13"/>
      <x:c r="L295" s="13"/>
      <x:c r="M295" s="13"/>
      <x:c r="N295" s="13"/>
      <x:c r="O295" s="13"/>
    </x:row>
    <x:row r="296">
      <x:c r="A296" s="10" t="n">
        <x:v>285</x:v>
      </x:c>
      <x:c r="B296" s="16" t="n">
        <x:v>0.781290911254473</x:v>
      </x:c>
      <x:c r="C296" s="16" t="n">
        <x:v>0.4899300484685227</x:v>
      </x:c>
      <x:c r="D296" s="10" t="n">
        <x:f>IF(B296&lt;=$B$7,1,2)</x:f>
        <x:v>1</x:v>
      </x:c>
      <x:c r="E296" s="11" t="n">
        <x:f>IF(B296&lt;=$B$7,-$B$8*LN(C296),-$B$9*LN(C296))</x:f>
        <x:v>3.043034740510192</x:v>
      </x:c>
      <x:c r="F296" s="13"/>
      <x:c r="G296" s="13"/>
      <x:c r="H296" s="13"/>
      <x:c r="I296" s="13"/>
      <x:c r="J296" s="13"/>
      <x:c r="K296" s="13"/>
      <x:c r="L296" s="13"/>
      <x:c r="M296" s="13"/>
      <x:c r="N296" s="13"/>
      <x:c r="O296" s="13"/>
    </x:row>
    <x:row r="297">
      <x:c r="A297" s="10" t="n">
        <x:v>286</x:v>
      </x:c>
      <x:c r="B297" s="16" t="n">
        <x:v>0.04980126454029232</x:v>
      </x:c>
      <x:c r="C297" s="16" t="n">
        <x:v>0.685733126825653</x:v>
      </x:c>
      <x:c r="D297" s="10" t="n">
        <x:f>IF(B297&lt;=$B$7,1,2)</x:f>
        <x:v>1</x:v>
      </x:c>
      <x:c r="E297" s="11" t="n">
        <x:f>IF(B297&lt;=$B$7,-$B$8*LN(C297),-$B$9*LN(C297))</x:f>
        <x:v>1.609036661364961</x:v>
      </x:c>
      <x:c r="F297" s="13"/>
      <x:c r="G297" s="13"/>
      <x:c r="H297" s="13"/>
      <x:c r="I297" s="13"/>
      <x:c r="J297" s="13"/>
      <x:c r="K297" s="13"/>
      <x:c r="L297" s="13"/>
      <x:c r="M297" s="13"/>
      <x:c r="N297" s="13"/>
      <x:c r="O297" s="13"/>
    </x:row>
    <x:row r="298">
      <x:c r="A298" s="10" t="n">
        <x:v>287</x:v>
      </x:c>
      <x:c r="B298" s="16" t="n">
        <x:v>0.16880366683471948</x:v>
      </x:c>
      <x:c r="C298" s="16" t="n">
        <x:v>0.15941225818824023</x:v>
      </x:c>
      <x:c r="D298" s="10" t="n">
        <x:f>IF(B298&lt;=$B$7,1,2)</x:f>
        <x:v>1</x:v>
      </x:c>
      <x:c r="E298" s="11" t="n">
        <x:f>IF(B298&lt;=$B$7,-$B$8*LN(C298),-$B$9*LN(C298))</x:f>
        <x:v>7.83162634304719</x:v>
      </x:c>
      <x:c r="F298" s="13"/>
      <x:c r="G298" s="13"/>
      <x:c r="H298" s="13"/>
      <x:c r="I298" s="13"/>
      <x:c r="J298" s="13"/>
      <x:c r="K298" s="13"/>
      <x:c r="L298" s="13"/>
      <x:c r="M298" s="13"/>
      <x:c r="N298" s="13"/>
      <x:c r="O298" s="13"/>
    </x:row>
    <x:row r="299">
      <x:c r="A299" s="10" t="n">
        <x:v>288</x:v>
      </x:c>
      <x:c r="B299" s="16" t="n">
        <x:v>0.9249349773162976</x:v>
      </x:c>
      <x:c r="C299" s="16" t="n">
        <x:v>0.628991606994532</x:v>
      </x:c>
      <x:c r="D299" s="10" t="n">
        <x:f>IF(B299&lt;=$B$7,1,2)</x:f>
        <x:v>1</x:v>
      </x:c>
      <x:c r="E299" s="11" t="n">
        <x:f>IF(B299&lt;=$B$7,-$B$8*LN(C299),-$B$9*LN(C299))</x:f>
        <x:v>1.9774059321040236</x:v>
      </x:c>
      <x:c r="F299" s="13"/>
      <x:c r="G299" s="13"/>
      <x:c r="H299" s="13"/>
      <x:c r="I299" s="13"/>
      <x:c r="J299" s="13"/>
      <x:c r="K299" s="13"/>
      <x:c r="L299" s="13"/>
      <x:c r="M299" s="13"/>
      <x:c r="N299" s="13"/>
      <x:c r="O299" s="13"/>
    </x:row>
    <x:row r="300">
      <x:c r="A300" s="10" t="n">
        <x:v>289</x:v>
      </x:c>
      <x:c r="B300" s="16" t="n">
        <x:v>0.490506770205684</x:v>
      </x:c>
      <x:c r="C300" s="16" t="n">
        <x:v>0.017550812917761505</x:v>
      </x:c>
      <x:c r="D300" s="10" t="n">
        <x:f>IF(B300&lt;=$B$7,1,2)</x:f>
        <x:v>1</x:v>
      </x:c>
      <x:c r="E300" s="11" t="n">
        <x:f>IF(B300&lt;=$B$7,-$B$8*LN(C300),-$B$9*LN(C300))</x:f>
        <x:v>17.2418588066806</x:v>
      </x:c>
      <x:c r="F300" s="13"/>
      <x:c r="G300" s="13"/>
      <x:c r="H300" s="13"/>
      <x:c r="I300" s="13"/>
      <x:c r="J300" s="13"/>
      <x:c r="K300" s="13"/>
      <x:c r="L300" s="13"/>
      <x:c r="M300" s="13"/>
      <x:c r="N300" s="13"/>
      <x:c r="O300" s="13"/>
    </x:row>
    <x:row r="301">
      <x:c r="A301" s="10" t="n">
        <x:v>290</x:v>
      </x:c>
      <x:c r="B301" s="16" t="n">
        <x:v>0.0027461337158456445</x:v>
      </x:c>
      <x:c r="C301" s="16" t="n">
        <x:v>0.24409756471868604</x:v>
      </x:c>
      <x:c r="D301" s="10" t="n">
        <x:f>IF(B301&lt;=$B$7,1,2)</x:f>
        <x:v>1</x:v>
      </x:c>
      <x:c r="E301" s="11" t="n">
        <x:f>IF(B301&lt;=$B$7,-$B$8*LN(C301),-$B$9*LN(C301))</x:f>
        <x:v>6.014426133665431</x:v>
      </x:c>
      <x:c r="F301" s="13"/>
      <x:c r="G301" s="13"/>
      <x:c r="H301" s="13"/>
      <x:c r="I301" s="13"/>
      <x:c r="J301" s="13"/>
      <x:c r="K301" s="13"/>
      <x:c r="L301" s="13"/>
      <x:c r="M301" s="13"/>
      <x:c r="N301" s="13"/>
      <x:c r="O301" s="13"/>
    </x:row>
    <x:row r="302">
      <x:c r="A302" s="10" t="n">
        <x:v>291</x:v>
      </x:c>
      <x:c r="B302" s="16" t="n">
        <x:v>0.7347875676350668</x:v>
      </x:c>
      <x:c r="C302" s="16" t="n">
        <x:v>0.5118919563246891</x:v>
      </x:c>
      <x:c r="D302" s="10" t="n">
        <x:f>IF(B302&lt;=$B$7,1,2)</x:f>
        <x:v>1</x:v>
      </x:c>
      <x:c r="E302" s="11" t="n">
        <x:f>IF(B302&lt;=$B$7,-$B$8*LN(C302),-$B$9*LN(C302))</x:f>
        <x:v>2.856011110715702</x:v>
      </x:c>
      <x:c r="F302" s="13"/>
      <x:c r="G302" s="13"/>
      <x:c r="H302" s="13"/>
      <x:c r="I302" s="13"/>
      <x:c r="J302" s="13"/>
      <x:c r="K302" s="13"/>
      <x:c r="L302" s="13"/>
      <x:c r="M302" s="13"/>
      <x:c r="N302" s="13"/>
      <x:c r="O302" s="13"/>
    </x:row>
    <x:row r="303">
      <x:c r="A303" s="10" t="n">
        <x:v>292</x:v>
      </x:c>
      <x:c r="B303" s="16" t="n">
        <x:v>0.1944755498552695</x:v>
      </x:c>
      <x:c r="C303" s="16" t="n">
        <x:v>0.6504970391979441</x:v>
      </x:c>
      <x:c r="D303" s="10" t="n">
        <x:f>IF(B303&lt;=$B$7,1,2)</x:f>
        <x:v>1</x:v>
      </x:c>
      <x:c r="E303" s="11" t="n">
        <x:f>IF(B303&lt;=$B$7,-$B$8*LN(C303),-$B$9*LN(C303))</x:f>
        <x:v>1.834022147635906</x:v>
      </x:c>
      <x:c r="F303" s="13"/>
      <x:c r="G303" s="13"/>
      <x:c r="H303" s="13"/>
      <x:c r="I303" s="13"/>
      <x:c r="J303" s="13"/>
      <x:c r="K303" s="13"/>
      <x:c r="L303" s="13"/>
      <x:c r="M303" s="13"/>
      <x:c r="N303" s="13"/>
      <x:c r="O303" s="13"/>
    </x:row>
    <x:row r="304">
      <x:c r="A304" s="10" t="n">
        <x:v>293</x:v>
      </x:c>
      <x:c r="B304" s="16" t="n">
        <x:v>0.8200451546581462</x:v>
      </x:c>
      <x:c r="C304" s="16" t="n">
        <x:v>0.8969315475551412</x:v>
      </x:c>
      <x:c r="D304" s="10" t="n">
        <x:f>IF(B304&lt;=$B$7,1,2)</x:f>
        <x:v>1</x:v>
      </x:c>
      <x:c r="E304" s="11" t="n">
        <x:f>IF(B304&lt;=$B$7,-$B$8*LN(C304),-$B$9*LN(C304))</x:f>
        <x:v>0.4639267551655099</x:v>
      </x:c>
      <x:c r="F304" s="13"/>
      <x:c r="G304" s="13"/>
      <x:c r="H304" s="13"/>
      <x:c r="I304" s="13"/>
      <x:c r="J304" s="13"/>
      <x:c r="K304" s="13"/>
      <x:c r="L304" s="13"/>
      <x:c r="M304" s="13"/>
      <x:c r="N304" s="13"/>
      <x:c r="O304" s="13"/>
    </x:row>
    <x:row r="305">
      <x:c r="A305" s="10" t="n">
        <x:v>294</x:v>
      </x:c>
      <x:c r="B305" s="16" t="n">
        <x:v>0.22006841807160527</x:v>
      </x:c>
      <x:c r="C305" s="16" t="n">
        <x:v>0.619464835501276</x:v>
      </x:c>
      <x:c r="D305" s="10" t="n">
        <x:f>IF(B305&lt;=$B$7,1,2)</x:f>
        <x:v>1</x:v>
      </x:c>
      <x:c r="E305" s="11" t="n">
        <x:f>IF(B305&lt;=$B$7,-$B$8*LN(C305),-$B$9*LN(C305))</x:f>
        <x:v>2.0424980169951366</x:v>
      </x:c>
      <x:c r="F305" s="13"/>
      <x:c r="G305" s="13"/>
      <x:c r="H305" s="13"/>
      <x:c r="I305" s="13"/>
      <x:c r="J305" s="13"/>
      <x:c r="K305" s="13"/>
      <x:c r="L305" s="13"/>
      <x:c r="M305" s="13"/>
      <x:c r="N305" s="13"/>
      <x:c r="O305" s="13"/>
    </x:row>
    <x:row r="306">
      <x:c r="A306" s="10" t="n">
        <x:v>295</x:v>
      </x:c>
      <x:c r="B306" s="16" t="n">
        <x:v>0.9411869581090286</x:v>
      </x:c>
      <x:c r="C306" s="16" t="n">
        <x:v>0.4573206276400015</x:v>
      </x:c>
      <x:c r="D306" s="10" t="n">
        <x:f>IF(B306&lt;=$B$7,1,2)</x:f>
        <x:v>2</x:v>
      </x:c>
      <x:c r="E306" s="11" t="n">
        <x:f>IF(B306&lt;=$B$7,-$B$8*LN(C306),-$B$9*LN(C306))</x:f>
        <x:v>52.56140905628938</x:v>
      </x:c>
      <x:c r="F306" s="13"/>
      <x:c r="G306" s="13"/>
      <x:c r="H306" s="13"/>
      <x:c r="I306" s="13"/>
      <x:c r="J306" s="13"/>
      <x:c r="K306" s="13"/>
      <x:c r="L306" s="13"/>
      <x:c r="M306" s="13"/>
      <x:c r="N306" s="13"/>
      <x:c r="O306" s="13"/>
    </x:row>
    <x:row r="307">
      <x:c r="A307" s="10" t="n">
        <x:v>296</x:v>
      </x:c>
      <x:c r="B307" s="16" t="n">
        <x:v>0.8535966702038422</x:v>
      </x:c>
      <x:c r="C307" s="16" t="n">
        <x:v>0.23334524722304195</x:v>
      </x:c>
      <x:c r="D307" s="10" t="n">
        <x:f>IF(B307&lt;=$B$7,1,2)</x:f>
        <x:v>1</x:v>
      </x:c>
      <x:c r="E307" s="11" t="n">
        <x:f>IF(B307&lt;=$B$7,-$B$8*LN(C307),-$B$9*LN(C307))</x:f>
        <x:v>6.20655895364698</x:v>
      </x:c>
      <x:c r="F307" s="13"/>
      <x:c r="G307" s="13"/>
      <x:c r="H307" s="13"/>
      <x:c r="I307" s="13"/>
      <x:c r="J307" s="13"/>
      <x:c r="K307" s="13"/>
      <x:c r="L307" s="13"/>
      <x:c r="M307" s="13"/>
      <x:c r="N307" s="13"/>
      <x:c r="O307" s="13"/>
    </x:row>
    <x:row r="308">
      <x:c r="A308" s="10" t="n">
        <x:v>297</x:v>
      </x:c>
      <x:c r="B308" s="16" t="n">
        <x:v>0.23350813065189868</x:v>
      </x:c>
      <x:c r="C308" s="16" t="n">
        <x:v>0.3570475484011695</x:v>
      </x:c>
      <x:c r="D308" s="10" t="n">
        <x:f>IF(B308&lt;=$B$7,1,2)</x:f>
        <x:v>1</x:v>
      </x:c>
      <x:c r="E308" s="11" t="n">
        <x:f>IF(B308&lt;=$B$7,-$B$8*LN(C308),-$B$9*LN(C308))</x:f>
        <x:v>4.392448632206735</x:v>
      </x:c>
      <x:c r="F308" s="13"/>
      <x:c r="G308" s="13"/>
      <x:c r="H308" s="13"/>
      <x:c r="I308" s="13"/>
      <x:c r="J308" s="13"/>
      <x:c r="K308" s="13"/>
      <x:c r="L308" s="13"/>
      <x:c r="M308" s="13"/>
      <x:c r="N308" s="13"/>
      <x:c r="O308" s="13"/>
    </x:row>
    <x:row r="309">
      <x:c r="A309" s="10" t="n">
        <x:v>298</x:v>
      </x:c>
      <x:c r="B309" s="16" t="n">
        <x:v>0.8063766533741727</x:v>
      </x:c>
      <x:c r="C309" s="16" t="n">
        <x:v>0.33483184163924307</x:v>
      </x:c>
      <x:c r="D309" s="10" t="n">
        <x:f>IF(B309&lt;=$B$7,1,2)</x:f>
        <x:v>1</x:v>
      </x:c>
      <x:c r="E309" s="11" t="n">
        <x:f>IF(B309&lt;=$B$7,-$B$8*LN(C309),-$B$9*LN(C309))</x:f>
        <x:v>4.666433425092055</x:v>
      </x:c>
      <x:c r="F309" s="13"/>
      <x:c r="G309" s="13"/>
      <x:c r="H309" s="13"/>
      <x:c r="I309" s="13"/>
      <x:c r="J309" s="13"/>
      <x:c r="K309" s="13"/>
      <x:c r="L309" s="13"/>
      <x:c r="M309" s="13"/>
      <x:c r="N309" s="13"/>
      <x:c r="O309" s="13"/>
    </x:row>
    <x:row r="310">
      <x:c r="A310" s="10" t="n">
        <x:v>299</x:v>
      </x:c>
      <x:c r="B310" s="16" t="n">
        <x:v>0.20707875781226903</x:v>
      </x:c>
      <x:c r="C310" s="16" t="n">
        <x:v>0.005221663857810199</x:v>
      </x:c>
      <x:c r="D310" s="10" t="n">
        <x:f>IF(B310&lt;=$B$7,1,2)</x:f>
        <x:v>1</x:v>
      </x:c>
      <x:c r="E310" s="11" t="n">
        <x:f>IF(B310&lt;=$B$7,-$B$8*LN(C310),-$B$9*LN(C310))</x:f>
        <x:v>22.412231361405333</x:v>
      </x:c>
      <x:c r="F310" s="13"/>
      <x:c r="G310" s="13"/>
      <x:c r="H310" s="13"/>
      <x:c r="I310" s="13"/>
      <x:c r="J310" s="13"/>
      <x:c r="K310" s="13"/>
      <x:c r="L310" s="13"/>
      <x:c r="M310" s="13"/>
      <x:c r="N310" s="13"/>
      <x:c r="O310" s="13"/>
    </x:row>
    <x:row r="311">
      <x:c r="A311" s="10" t="n">
        <x:v>300</x:v>
      </x:c>
      <x:c r="B311" s="16" t="n">
        <x:v>0.8259071182692423</x:v>
      </x:c>
      <x:c r="C311" s="16" t="n">
        <x:v>0.2819113073637709</x:v>
      </x:c>
      <x:c r="D311" s="10" t="n">
        <x:f>IF(B311&lt;=$B$7,1,2)</x:f>
        <x:v>1</x:v>
      </x:c>
      <x:c r="E311" s="11" t="n">
        <x:f>IF(B311&lt;=$B$7,-$B$8*LN(C311),-$B$9*LN(C311))</x:f>
        <x:v>5.400163916885937</x:v>
      </x:c>
      <x:c r="F311" s="13"/>
      <x:c r="G311" s="13"/>
      <x:c r="H311" s="13"/>
      <x:c r="I311" s="13"/>
      <x:c r="J311" s="13"/>
      <x:c r="K311" s="13"/>
      <x:c r="L311" s="13"/>
      <x:c r="M311" s="13"/>
      <x:c r="N311" s="13"/>
      <x:c r="O311" s="13"/>
    </x:row>
  </x:sheetData>
  <x:pageMargins left="0.7" right="0.7" top="0.75" bottom="0.75" header="0.3" footer="0.3"/>
  <x:drawing xmlns:r="http://schemas.openxmlformats.org/officeDocument/2006/relationships" r:id="R83021b64408448c6"/>
</x:worksheet>
</file>

<file path=xl/worksheets/sheet6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4" max="4" width="54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4" t="str">
        <x:v>Исходная числовая последовательность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>
      <x:c r="A4" s="7" t="str">
        <x:v>Номер</x:v>
      </x:c>
      <x:c r="B4" s="7" t="str">
        <x:v>Значение</x:v>
      </x:c>
      <x:c r="C4" s="13"/>
      <x:c r="D4" s="15" t="str">
        <x:v>Источник</x:v>
      </x:c>
      <x:c r="E4" s="13"/>
      <x:c r="F4" s="13"/>
      <x:c r="G4" s="13"/>
      <x:c r="H4" s="13"/>
      <x:c r="I4" s="13"/>
      <x:c r="J4" s="13"/>
      <x:c r="K4" s="13"/>
      <x:c r="L4" s="13"/>
    </x:row>
    <x:row r="5">
      <x:c r="A5" s="10" t="n">
        <x:v>1</x:v>
      </x:c>
      <x:c r="B5" s="11" t="n">
        <x:v>5.6181720504233565</x:v>
      </x:c>
      <x:c r="C5" s="13"/>
      <x:c r="D5" s="13" t="str">
        <x:v>ITMO LMS, файл «Варианты к УИР 1», вариант 16</x:v>
      </x:c>
      <x:c r="E5" s="13"/>
      <x:c r="F5" s="13"/>
      <x:c r="G5" s="13"/>
      <x:c r="H5" s="13"/>
      <x:c r="I5" s="13"/>
      <x:c r="J5" s="13"/>
      <x:c r="K5" s="13"/>
      <x:c r="L5" s="13"/>
    </x:row>
    <x:row r="6">
      <x:c r="A6" s="10" t="n">
        <x:v>2</x:v>
      </x:c>
      <x:c r="B6" s="11" t="n">
        <x:v>1.961323380241683</x:v>
      </x:c>
      <x:c r="C6" s="13"/>
      <x:c r="D6" s="13"/>
      <x:c r="E6" s="13"/>
      <x:c r="F6" s="13"/>
      <x:c r="G6" s="13"/>
      <x:c r="H6" s="13"/>
      <x:c r="I6" s="13"/>
      <x:c r="J6" s="13"/>
      <x:c r="K6" s="13"/>
      <x:c r="L6" s="13"/>
    </x:row>
    <x:row r="7">
      <x:c r="A7" s="10" t="n">
        <x:v>3</x:v>
      </x:c>
      <x:c r="B7" s="11" t="n">
        <x:v>0.95896627278794</x:v>
      </x:c>
      <x:c r="C7" s="13"/>
      <x:c r="D7" s="13"/>
      <x:c r="E7" s="13"/>
      <x:c r="F7" s="13"/>
      <x:c r="G7" s="13"/>
      <x:c r="H7" s="13"/>
      <x:c r="I7" s="13"/>
      <x:c r="J7" s="13"/>
      <x:c r="K7" s="13"/>
      <x:c r="L7" s="13"/>
    </x:row>
    <x:row r="8">
      <x:c r="A8" s="10" t="n">
        <x:v>4</x:v>
      </x:c>
      <x:c r="B8" s="11" t="n">
        <x:v>3.34226924692951</x:v>
      </x:c>
      <x:c r="C8" s="13"/>
      <x:c r="D8" s="13"/>
      <x:c r="E8" s="13"/>
      <x:c r="F8" s="13"/>
      <x:c r="G8" s="13"/>
      <x:c r="H8" s="13"/>
      <x:c r="I8" s="13"/>
      <x:c r="J8" s="13"/>
      <x:c r="K8" s="13"/>
      <x:c r="L8" s="13"/>
    </x:row>
    <x:row r="9">
      <x:c r="A9" s="10" t="n">
        <x:v>5</x:v>
      </x:c>
      <x:c r="B9" s="11" t="n">
        <x:v>3.238546199301399</x:v>
      </x:c>
      <x:c r="C9" s="13"/>
      <x:c r="D9" s="13"/>
      <x:c r="E9" s="13"/>
      <x:c r="F9" s="13"/>
      <x:c r="G9" s="13"/>
      <x:c r="H9" s="13"/>
      <x:c r="I9" s="13"/>
      <x:c r="J9" s="13"/>
      <x:c r="K9" s="13"/>
      <x:c r="L9" s="13"/>
    </x:row>
    <x:row r="10">
      <x:c r="A10" s="10" t="n">
        <x:v>6</x:v>
      </x:c>
      <x:c r="B10" s="11" t="n">
        <x:v>0.3299536812496942</x:v>
      </x:c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</x:row>
    <x:row r="11">
      <x:c r="A11" s="10" t="n">
        <x:v>7</x:v>
      </x:c>
      <x:c r="B11" s="11" t="n">
        <x:v>0.5059386177374764</x:v>
      </x:c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</x:row>
    <x:row r="12">
      <x:c r="A12" s="10" t="n">
        <x:v>8</x:v>
      </x:c>
      <x:c r="B12" s="11" t="n">
        <x:v>7.174056610396499</x:v>
      </x:c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</x:row>
    <x:row r="13">
      <x:c r="A13" s="10" t="n">
        <x:v>9</x:v>
      </x:c>
      <x:c r="B13" s="11" t="n">
        <x:v>4.758814469133948</x:v>
      </x:c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</x:row>
    <x:row r="14">
      <x:c r="A14" s="10" t="n">
        <x:v>10</x:v>
      </x:c>
      <x:c r="B14" s="11" t="n">
        <x:v>12.69518606312383</x:v>
      </x:c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</x:row>
    <x:row r="15">
      <x:c r="A15" s="10" t="n">
        <x:v>11</x:v>
      </x:c>
      <x:c r="B15" s="11" t="n">
        <x:v>58.106678778913405</x:v>
      </x:c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</x:row>
    <x:row r="16">
      <x:c r="A16" s="10" t="n">
        <x:v>12</x:v>
      </x:c>
      <x:c r="B16" s="11" t="n">
        <x:v>2.587789518664936</x:v>
      </x:c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</x:row>
    <x:row r="17">
      <x:c r="A17" s="10" t="n">
        <x:v>13</x:v>
      </x:c>
      <x:c r="B17" s="11" t="n">
        <x:v>33.03094563442113</x:v>
      </x:c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</x:row>
    <x:row r="18">
      <x:c r="A18" s="10" t="n">
        <x:v>14</x:v>
      </x:c>
      <x:c r="B18" s="11" t="n">
        <x:v>8.894685349227208</x:v>
      </x:c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</x:row>
    <x:row r="19">
      <x:c r="A19" s="10" t="n">
        <x:v>15</x:v>
      </x:c>
      <x:c r="B19" s="11" t="n">
        <x:v>0.986705704104618</x:v>
      </x:c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</x:row>
    <x:row r="20">
      <x:c r="A20" s="10" t="n">
        <x:v>16</x:v>
      </x:c>
      <x:c r="B20" s="11" t="n">
        <x:v>1.418220187844115</x:v>
      </x:c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</x:row>
    <x:row r="21">
      <x:c r="A21" s="10" t="n">
        <x:v>17</x:v>
      </x:c>
      <x:c r="B21" s="11" t="n">
        <x:v>5.60874962966294</x:v>
      </x:c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</x:row>
    <x:row r="22">
      <x:c r="A22" s="10" t="n">
        <x:v>18</x:v>
      </x:c>
      <x:c r="B22" s="11" t="n">
        <x:v>5.8996716115324315</x:v>
      </x:c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</x:row>
    <x:row r="23">
      <x:c r="A23" s="10" t="n">
        <x:v>19</x:v>
      </x:c>
      <x:c r="B23" s="11" t="n">
        <x:v>0.32563964103991067</x:v>
      </x:c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</x:row>
    <x:row r="24">
      <x:c r="A24" s="10" t="n">
        <x:v>20</x:v>
      </x:c>
      <x:c r="B24" s="11" t="n">
        <x:v>0.7370823658605191</x:v>
      </x:c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</x:row>
    <x:row r="25">
      <x:c r="A25" s="10" t="n">
        <x:v>21</x:v>
      </x:c>
      <x:c r="B25" s="11" t="n">
        <x:v>1.1927784962330366</x:v>
      </x:c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</x:row>
    <x:row r="26">
      <x:c r="A26" s="10" t="n">
        <x:v>22</x:v>
      </x:c>
      <x:c r="B26" s="11" t="n">
        <x:v>8.224892771624155</x:v>
      </x:c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</x:row>
    <x:row r="27">
      <x:c r="A27" s="10" t="n">
        <x:v>23</x:v>
      </x:c>
      <x:c r="B27" s="11" t="n">
        <x:v>2.980797395567332</x:v>
      </x:c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</x:row>
    <x:row r="28">
      <x:c r="A28" s="10" t="n">
        <x:v>24</x:v>
      </x:c>
      <x:c r="B28" s="11" t="n">
        <x:v>3.435655546701355</x:v>
      </x:c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</x:row>
    <x:row r="29">
      <x:c r="A29" s="10" t="n">
        <x:v>25</x:v>
      </x:c>
      <x:c r="B29" s="11" t="n">
        <x:v>9.09352389710932</x:v>
      </x:c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</x:row>
    <x:row r="30">
      <x:c r="A30" s="10" t="n">
        <x:v>26</x:v>
      </x:c>
      <x:c r="B30" s="11" t="n">
        <x:v>0.40281570904333086</x:v>
      </x:c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</x:row>
    <x:row r="31">
      <x:c r="A31" s="10" t="n">
        <x:v>27</x:v>
      </x:c>
      <x:c r="B31" s="11" t="n">
        <x:v>5.6237273220071105</x:v>
      </x:c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</x:row>
    <x:row r="32">
      <x:c r="A32" s="10" t="n">
        <x:v>28</x:v>
      </x:c>
      <x:c r="B32" s="11" t="n">
        <x:v>1.6082497816725774</x:v>
      </x:c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</x:row>
    <x:row r="33">
      <x:c r="A33" s="10" t="n">
        <x:v>29</x:v>
      </x:c>
      <x:c r="B33" s="11" t="n">
        <x:v>9.919623664213923</x:v>
      </x:c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</x:row>
    <x:row r="34">
      <x:c r="A34" s="10" t="n">
        <x:v>30</x:v>
      </x:c>
      <x:c r="B34" s="11" t="n">
        <x:v>0.26659132828440557</x:v>
      </x:c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</x:row>
    <x:row r="35">
      <x:c r="A35" s="10" t="n">
        <x:v>31</x:v>
      </x:c>
      <x:c r="B35" s="11" t="n">
        <x:v>4.807003862135744</x:v>
      </x:c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</x:row>
    <x:row r="36">
      <x:c r="A36" s="10" t="n">
        <x:v>32</x:v>
      </x:c>
      <x:c r="B36" s="11" t="n">
        <x:v>0.10920042679177747</x:v>
      </x:c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</x:row>
    <x:row r="37">
      <x:c r="A37" s="10" t="n">
        <x:v>33</x:v>
      </x:c>
      <x:c r="B37" s="11" t="n">
        <x:v>0.9528039439845308</x:v>
      </x:c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</x:row>
    <x:row r="38">
      <x:c r="A38" s="10" t="n">
        <x:v>34</x:v>
      </x:c>
      <x:c r="B38" s="11" t="n">
        <x:v>1.4557611187774855</x:v>
      </x:c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</x:row>
    <x:row r="39">
      <x:c r="A39" s="10" t="n">
        <x:v>35</x:v>
      </x:c>
      <x:c r="B39" s="11" t="n">
        <x:v>4.995672381531492</x:v>
      </x:c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</x:row>
    <x:row r="40">
      <x:c r="A40" s="10" t="n">
        <x:v>36</x:v>
      </x:c>
      <x:c r="B40" s="11" t="n">
        <x:v>3.7077068553203825</x:v>
      </x:c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</x:row>
    <x:row r="41">
      <x:c r="A41" s="10" t="n">
        <x:v>37</x:v>
      </x:c>
      <x:c r="B41" s="11" t="n">
        <x:v>5.538660411658349</x:v>
      </x:c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</x:row>
    <x:row r="42">
      <x:c r="A42" s="10" t="n">
        <x:v>38</x:v>
      </x:c>
      <x:c r="B42" s="11" t="n">
        <x:v>2.0682557300603195</x:v>
      </x:c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</x:row>
    <x:row r="43">
      <x:c r="A43" s="10" t="n">
        <x:v>39</x:v>
      </x:c>
      <x:c r="B43" s="11" t="n">
        <x:v>28.047542991024986</x:v>
      </x:c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</x:row>
    <x:row r="44">
      <x:c r="A44" s="10" t="n">
        <x:v>40</x:v>
      </x:c>
      <x:c r="B44" s="11" t="n">
        <x:v>44.79204766684183</x:v>
      </x:c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</x:row>
    <x:row r="45">
      <x:c r="A45" s="10" t="n">
        <x:v>41</x:v>
      </x:c>
      <x:c r="B45" s="11" t="n">
        <x:v>28.592606980877427</x:v>
      </x:c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</x:row>
    <x:row r="46">
      <x:c r="A46" s="10" t="n">
        <x:v>42</x:v>
      </x:c>
      <x:c r="B46" s="11" t="n">
        <x:v>3.312180104375023</x:v>
      </x:c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</x:row>
    <x:row r="47">
      <x:c r="A47" s="10" t="n">
        <x:v>43</x:v>
      </x:c>
      <x:c r="B47" s="11" t="n">
        <x:v>5.093529423825814</x:v>
      </x:c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</x:row>
    <x:row r="48">
      <x:c r="A48" s="10" t="n">
        <x:v>44</x:v>
      </x:c>
      <x:c r="B48" s="11" t="n">
        <x:v>0.09855882571667884</x:v>
      </x:c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</x:row>
    <x:row r="49">
      <x:c r="A49" s="10" t="n">
        <x:v>45</x:v>
      </x:c>
      <x:c r="B49" s="11" t="n">
        <x:v>13.25402737523245</x:v>
      </x:c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</x:row>
    <x:row r="50">
      <x:c r="A50" s="10" t="n">
        <x:v>46</x:v>
      </x:c>
      <x:c r="B50" s="11" t="n">
        <x:v>1.0445496699205856</x:v>
      </x:c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</x:row>
    <x:row r="51">
      <x:c r="A51" s="10" t="n">
        <x:v>47</x:v>
      </x:c>
      <x:c r="B51" s="11" t="n">
        <x:v>8.320906862203106</x:v>
      </x:c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</x:row>
    <x:row r="52">
      <x:c r="A52" s="10" t="n">
        <x:v>48</x:v>
      </x:c>
      <x:c r="B52" s="11" t="n">
        <x:v>0.07655887006099407</x:v>
      </x:c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</x:row>
    <x:row r="53">
      <x:c r="A53" s="10" t="n">
        <x:v>49</x:v>
      </x:c>
      <x:c r="B53" s="11" t="n">
        <x:v>1.0082778192604491</x:v>
      </x:c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</x:row>
    <x:row r="54">
      <x:c r="A54" s="10" t="n">
        <x:v>50</x:v>
      </x:c>
      <x:c r="B54" s="11" t="n">
        <x:v>1.3197631538977872</x:v>
      </x:c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</x:row>
    <x:row r="55">
      <x:c r="A55" s="10" t="n">
        <x:v>51</x:v>
      </x:c>
      <x:c r="B55" s="11" t="n">
        <x:v>9.766671289163853</x:v>
      </x:c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</x:row>
    <x:row r="56">
      <x:c r="A56" s="10" t="n">
        <x:v>52</x:v>
      </x:c>
      <x:c r="B56" s="11" t="n">
        <x:v>2.7457646101958137</x:v>
      </x:c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</x:row>
    <x:row r="57">
      <x:c r="A57" s="10" t="n">
        <x:v>53</x:v>
      </x:c>
      <x:c r="B57" s="11" t="n">
        <x:v>1.5682870008213992</x:v>
      </x:c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</x:row>
    <x:row r="58">
      <x:c r="A58" s="10" t="n">
        <x:v>54</x:v>
      </x:c>
      <x:c r="B58" s="11" t="n">
        <x:v>11.890181921654117</x:v>
      </x:c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</x:row>
    <x:row r="59">
      <x:c r="A59" s="10" t="n">
        <x:v>55</x:v>
      </x:c>
      <x:c r="B59" s="11" t="n">
        <x:v>0.3450420646574386</x:v>
      </x:c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</x:row>
    <x:row r="60">
      <x:c r="A60" s="10" t="n">
        <x:v>56</x:v>
      </x:c>
      <x:c r="B60" s="11" t="n">
        <x:v>4.6500158179040705</x:v>
      </x:c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</x:row>
    <x:row r="61">
      <x:c r="A61" s="10" t="n">
        <x:v>57</x:v>
      </x:c>
      <x:c r="B61" s="11" t="n">
        <x:v>7.647247926072703</x:v>
      </x:c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</x:row>
    <x:row r="62">
      <x:c r="A62" s="10" t="n">
        <x:v>58</x:v>
      </x:c>
      <x:c r="B62" s="11" t="n">
        <x:v>57.038481403281864</x:v>
      </x:c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</x:row>
    <x:row r="63">
      <x:c r="A63" s="10" t="n">
        <x:v>59</x:v>
      </x:c>
      <x:c r="B63" s="11" t="n">
        <x:v>0.09392039818791975</x:v>
      </x:c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</x:row>
    <x:row r="64">
      <x:c r="A64" s="10" t="n">
        <x:v>60</x:v>
      </x:c>
      <x:c r="B64" s="11" t="n">
        <x:v>1.827048253063418</x:v>
      </x:c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</x:row>
    <x:row r="65">
      <x:c r="A65" s="10" t="n">
        <x:v>61</x:v>
      </x:c>
      <x:c r="B65" s="11" t="n">
        <x:v>7.1052093942547945</x:v>
      </x:c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</x:row>
    <x:row r="66">
      <x:c r="A66" s="10" t="n">
        <x:v>62</x:v>
      </x:c>
      <x:c r="B66" s="11" t="n">
        <x:v>1.8832627261221564</x:v>
      </x:c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</x:row>
    <x:row r="67">
      <x:c r="A67" s="10" t="n">
        <x:v>63</x:v>
      </x:c>
      <x:c r="B67" s="11" t="n">
        <x:v>5.818433240251913</x:v>
      </x:c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</x:row>
    <x:row r="68">
      <x:c r="A68" s="10" t="n">
        <x:v>64</x:v>
      </x:c>
      <x:c r="B68" s="11" t="n">
        <x:v>2.450781863636289</x:v>
      </x:c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</x:row>
    <x:row r="69">
      <x:c r="A69" s="10" t="n">
        <x:v>65</x:v>
      </x:c>
      <x:c r="B69" s="11" t="n">
        <x:v>0.9381147181981675</x:v>
      </x:c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</x:row>
    <x:row r="70">
      <x:c r="A70" s="10" t="n">
        <x:v>66</x:v>
      </x:c>
      <x:c r="B70" s="11" t="n">
        <x:v>5.821975175325007</x:v>
      </x:c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</x:row>
    <x:row r="71">
      <x:c r="A71" s="10" t="n">
        <x:v>67</x:v>
      </x:c>
      <x:c r="B71" s="11" t="n">
        <x:v>5.239581731602775</x:v>
      </x:c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</x:row>
    <x:row r="72">
      <x:c r="A72" s="10" t="n">
        <x:v>68</x:v>
      </x:c>
      <x:c r="B72" s="11" t="n">
        <x:v>1.572326103273861</x:v>
      </x:c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</x:row>
    <x:row r="73">
      <x:c r="A73" s="10" t="n">
        <x:v>69</x:v>
      </x:c>
      <x:c r="B73" s="11" t="n">
        <x:v>5.4966728266538745</x:v>
      </x:c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</x:row>
    <x:row r="74">
      <x:c r="A74" s="10" t="n">
        <x:v>70</x:v>
      </x:c>
      <x:c r="B74" s="11" t="n">
        <x:v>2.736068472671958</x:v>
      </x:c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</x:row>
    <x:row r="75">
      <x:c r="A75" s="10" t="n">
        <x:v>71</x:v>
      </x:c>
      <x:c r="B75" s="11" t="n">
        <x:v>6.883177978778489</x:v>
      </x:c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</x:row>
    <x:row r="76">
      <x:c r="A76" s="10" t="n">
        <x:v>72</x:v>
      </x:c>
      <x:c r="B76" s="11" t="n">
        <x:v>2.842668574546334</x:v>
      </x:c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</x:row>
    <x:row r="77">
      <x:c r="A77" s="10" t="n">
        <x:v>73</x:v>
      </x:c>
      <x:c r="B77" s="11" t="n">
        <x:v>0.05714910818167265</x:v>
      </x:c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</x:row>
    <x:row r="78">
      <x:c r="A78" s="10" t="n">
        <x:v>74</x:v>
      </x:c>
      <x:c r="B78" s="11" t="n">
        <x:v>0.7493866138313776</x:v>
      </x:c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</x:row>
    <x:row r="79">
      <x:c r="A79" s="10" t="n">
        <x:v>75</x:v>
      </x:c>
      <x:c r="B79" s="11" t="n">
        <x:v>0.916335855452432</x:v>
      </x:c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</x:row>
    <x:row r="80">
      <x:c r="A80" s="10" t="n">
        <x:v>76</x:v>
      </x:c>
      <x:c r="B80" s="11" t="n">
        <x:v>2.433920022968344</x:v>
      </x:c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</x:row>
    <x:row r="81">
      <x:c r="A81" s="10" t="n">
        <x:v>77</x:v>
      </x:c>
      <x:c r="B81" s="11" t="n">
        <x:v>17.949315202419818</x:v>
      </x:c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</x:row>
    <x:row r="82">
      <x:c r="A82" s="10" t="n">
        <x:v>78</x:v>
      </x:c>
      <x:c r="B82" s="11" t="n">
        <x:v>2.121720064177211</x:v>
      </x:c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</x:row>
    <x:row r="83">
      <x:c r="A83" s="10" t="n">
        <x:v>79</x:v>
      </x:c>
      <x:c r="B83" s="11" t="n">
        <x:v>1.0562695219079725</x:v>
      </x:c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</x:row>
    <x:row r="84">
      <x:c r="A84" s="10" t="n">
        <x:v>80</x:v>
      </x:c>
      <x:c r="B84" s="11" t="n">
        <x:v>6.644725727853053</x:v>
      </x:c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</x:row>
    <x:row r="85">
      <x:c r="A85" s="10" t="n">
        <x:v>81</x:v>
      </x:c>
      <x:c r="B85" s="11" t="n">
        <x:v>0.31471403244649554</x:v>
      </x:c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</x:row>
    <x:row r="86">
      <x:c r="A86" s="10" t="n">
        <x:v>82</x:v>
      </x:c>
      <x:c r="B86" s="11" t="n">
        <x:v>0.008820259485121412</x:v>
      </x:c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</x:row>
    <x:row r="87">
      <x:c r="A87" s="10" t="n">
        <x:v>83</x:v>
      </x:c>
      <x:c r="B87" s="11" t="n">
        <x:v>1.0130455121179607</x:v>
      </x:c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</x:row>
    <x:row r="88">
      <x:c r="A88" s="10" t="n">
        <x:v>84</x:v>
      </x:c>
      <x:c r="B88" s="11" t="n">
        <x:v>4.741774131756746</x:v>
      </x:c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</x:row>
    <x:row r="89">
      <x:c r="A89" s="10" t="n">
        <x:v>85</x:v>
      </x:c>
      <x:c r="B89" s="11" t="n">
        <x:v>0.2438702297197323</x:v>
      </x:c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</x:row>
    <x:row r="90">
      <x:c r="A90" s="10" t="n">
        <x:v>86</x:v>
      </x:c>
      <x:c r="B90" s="11" t="n">
        <x:v>0.9029948657749054</x:v>
      </x:c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</x:row>
    <x:row r="91">
      <x:c r="A91" s="10" t="n">
        <x:v>87</x:v>
      </x:c>
      <x:c r="B91" s="11" t="n">
        <x:v>2.020464066598377</x:v>
      </x:c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</x:row>
    <x:row r="92">
      <x:c r="A92" s="10" t="n">
        <x:v>88</x:v>
      </x:c>
      <x:c r="B92" s="11" t="n">
        <x:v>0.4482865574535291</x:v>
      </x:c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</x:row>
    <x:row r="93">
      <x:c r="A93" s="10" t="n">
        <x:v>89</x:v>
      </x:c>
      <x:c r="B93" s="11" t="n">
        <x:v>8.84209099150303</x:v>
      </x:c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</x:row>
    <x:row r="94">
      <x:c r="A94" s="10" t="n">
        <x:v>90</x:v>
      </x:c>
      <x:c r="B94" s="11" t="n">
        <x:v>2.486903721683527</x:v>
      </x:c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</x:row>
    <x:row r="95">
      <x:c r="A95" s="10" t="n">
        <x:v>91</x:v>
      </x:c>
      <x:c r="B95" s="11" t="n">
        <x:v>3.2038018960139274</x:v>
      </x:c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</x:row>
    <x:row r="96">
      <x:c r="A96" s="10" t="n">
        <x:v>92</x:v>
      </x:c>
      <x:c r="B96" s="11" t="n">
        <x:v>2.3437207848466772</x:v>
      </x:c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</x:row>
    <x:row r="97">
      <x:c r="A97" s="10" t="n">
        <x:v>93</x:v>
      </x:c>
      <x:c r="B97" s="11" t="n">
        <x:v>3.3678821861439747</x:v>
      </x:c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</x:row>
    <x:row r="98">
      <x:c r="A98" s="10" t="n">
        <x:v>94</x:v>
      </x:c>
      <x:c r="B98" s="11" t="n">
        <x:v>5.316640052582896</x:v>
      </x:c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</x:row>
    <x:row r="99">
      <x:c r="A99" s="10" t="n">
        <x:v>95</x:v>
      </x:c>
      <x:c r="B99" s="11" t="n">
        <x:v>1.4745370400602567</x:v>
      </x:c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</x:row>
    <x:row r="100">
      <x:c r="A100" s="10" t="n">
        <x:v>96</x:v>
      </x:c>
      <x:c r="B100" s="11" t="n">
        <x:v>185.60540491018384</x:v>
      </x:c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</x:row>
    <x:row r="101">
      <x:c r="A101" s="10" t="n">
        <x:v>97</x:v>
      </x:c>
      <x:c r="B101" s="11" t="n">
        <x:v>4.220743642866486</x:v>
      </x:c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</x:row>
    <x:row r="102">
      <x:c r="A102" s="10" t="n">
        <x:v>98</x:v>
      </x:c>
      <x:c r="B102" s="11" t="n">
        <x:v>1.151993835169855</x:v>
      </x:c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</x:row>
    <x:row r="103">
      <x:c r="A103" s="10" t="n">
        <x:v>99</x:v>
      </x:c>
      <x:c r="B103" s="11" t="n">
        <x:v>6.890532780422916</x:v>
      </x:c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</x:row>
    <x:row r="104">
      <x:c r="A104" s="10" t="n">
        <x:v>100</x:v>
      </x:c>
      <x:c r="B104" s="11" t="n">
        <x:v>4.681151722502144</x:v>
      </x:c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</x:row>
    <x:row r="105">
      <x:c r="A105" s="10" t="n">
        <x:v>101</x:v>
      </x:c>
      <x:c r="B105" s="11" t="n">
        <x:v>0.5982042134951743</x:v>
      </x:c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</x:row>
    <x:row r="106">
      <x:c r="A106" s="10" t="n">
        <x:v>102</x:v>
      </x:c>
      <x:c r="B106" s="11" t="n">
        <x:v>2.16152736779559</x:v>
      </x:c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</x:row>
    <x:row r="107">
      <x:c r="A107" s="10" t="n">
        <x:v>103</x:v>
      </x:c>
      <x:c r="B107" s="11" t="n">
        <x:v>1.3305580014666585</x:v>
      </x:c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</x:row>
    <x:row r="108">
      <x:c r="A108" s="10" t="n">
        <x:v>104</x:v>
      </x:c>
      <x:c r="B108" s="11" t="n">
        <x:v>3.58838282240316</x:v>
      </x:c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</x:row>
    <x:row r="109">
      <x:c r="A109" s="10" t="n">
        <x:v>105</x:v>
      </x:c>
      <x:c r="B109" s="11" t="n">
        <x:v>3.72013047456484</x:v>
      </x:c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</x:row>
    <x:row r="110">
      <x:c r="A110" s="10" t="n">
        <x:v>106</x:v>
      </x:c>
      <x:c r="B110" s="11" t="n">
        <x:v>91.66518221836404</x:v>
      </x:c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</x:row>
    <x:row r="111">
      <x:c r="A111" s="10" t="n">
        <x:v>107</x:v>
      </x:c>
      <x:c r="B111" s="11" t="n">
        <x:v>0.8818400989678067</x:v>
      </x:c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</x:row>
    <x:row r="112">
      <x:c r="A112" s="10" t="n">
        <x:v>108</x:v>
      </x:c>
      <x:c r="B112" s="11" t="n">
        <x:v>0.6990812712071588</x:v>
      </x:c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</x:row>
    <x:row r="113">
      <x:c r="A113" s="10" t="n">
        <x:v>109</x:v>
      </x:c>
      <x:c r="B113" s="11" t="n">
        <x:v>31.607597906269707</x:v>
      </x:c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</x:row>
    <x:row r="114">
      <x:c r="A114" s="10" t="n">
        <x:v>110</x:v>
      </x:c>
      <x:c r="B114" s="11" t="n">
        <x:v>1.3236571961165842</x:v>
      </x:c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</x:row>
    <x:row r="115">
      <x:c r="A115" s="10" t="n">
        <x:v>111</x:v>
      </x:c>
      <x:c r="B115" s="11" t="n">
        <x:v>2.7750262060025443</x:v>
      </x:c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</x:row>
    <x:row r="116">
      <x:c r="A116" s="10" t="n">
        <x:v>112</x:v>
      </x:c>
      <x:c r="B116" s="11" t="n">
        <x:v>0.4890475439806944</x:v>
      </x:c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</x:row>
    <x:row r="117">
      <x:c r="A117" s="10" t="n">
        <x:v>113</x:v>
      </x:c>
      <x:c r="B117" s="11" t="n">
        <x:v>0.24516434668345996</x:v>
      </x:c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</x:row>
    <x:row r="118">
      <x:c r="A118" s="10" t="n">
        <x:v>114</x:v>
      </x:c>
      <x:c r="B118" s="11" t="n">
        <x:v>1.654336395152445</x:v>
      </x:c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</x:row>
    <x:row r="119">
      <x:c r="A119" s="10" t="n">
        <x:v>115</x:v>
      </x:c>
      <x:c r="B119" s="11" t="n">
        <x:v>1.9555038827412035</x:v>
      </x:c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</x:row>
    <x:row r="120">
      <x:c r="A120" s="10" t="n">
        <x:v>116</x:v>
      </x:c>
      <x:c r="B120" s="11" t="n">
        <x:v>2.390895634928623</x:v>
      </x:c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</x:row>
    <x:row r="121">
      <x:c r="A121" s="10" t="n">
        <x:v>117</x:v>
      </x:c>
      <x:c r="B121" s="11" t="n">
        <x:v>0.8154581287760496</x:v>
      </x:c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</x:row>
    <x:row r="122">
      <x:c r="A122" s="10" t="n">
        <x:v>118</x:v>
      </x:c>
      <x:c r="B122" s="11" t="n">
        <x:v>0.4106341431602848</x:v>
      </x:c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</x:row>
    <x:row r="123">
      <x:c r="A123" s="10" t="n">
        <x:v>119</x:v>
      </x:c>
      <x:c r="B123" s="11" t="n">
        <x:v>4.202668916427851</x:v>
      </x:c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</x:row>
    <x:row r="124">
      <x:c r="A124" s="10" t="n">
        <x:v>120</x:v>
      </x:c>
      <x:c r="B124" s="11" t="n">
        <x:v>2.8250937652705255</x:v>
      </x:c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</x:row>
    <x:row r="125">
      <x:c r="A125" s="10" t="n">
        <x:v>121</x:v>
      </x:c>
      <x:c r="B125" s="11" t="n">
        <x:v>5.664005479957851</x:v>
      </x:c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</x:row>
    <x:row r="126">
      <x:c r="A126" s="10" t="n">
        <x:v>122</x:v>
      </x:c>
      <x:c r="B126" s="11" t="n">
        <x:v>4.029932390020127</x:v>
      </x:c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</x:row>
    <x:row r="127">
      <x:c r="A127" s="10" t="n">
        <x:v>123</x:v>
      </x:c>
      <x:c r="B127" s="11" t="n">
        <x:v>11.392654195856448</x:v>
      </x:c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</x:row>
    <x:row r="128">
      <x:c r="A128" s="10" t="n">
        <x:v>124</x:v>
      </x:c>
      <x:c r="B128" s="11" t="n">
        <x:v>5.488126029481447</x:v>
      </x:c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</x:row>
    <x:row r="129">
      <x:c r="A129" s="10" t="n">
        <x:v>125</x:v>
      </x:c>
      <x:c r="B129" s="11" t="n">
        <x:v>16.996878997148105</x:v>
      </x:c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</x:row>
    <x:row r="130">
      <x:c r="A130" s="10" t="n">
        <x:v>126</x:v>
      </x:c>
      <x:c r="B130" s="11" t="n">
        <x:v>0.5488466513943153</x:v>
      </x:c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</x:row>
    <x:row r="131">
      <x:c r="A131" s="10" t="n">
        <x:v>127</x:v>
      </x:c>
      <x:c r="B131" s="11" t="n">
        <x:v>2.4824200141377646</x:v>
      </x:c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</x:row>
    <x:row r="132">
      <x:c r="A132" s="10" t="n">
        <x:v>128</x:v>
      </x:c>
      <x:c r="B132" s="11" t="n">
        <x:v>1.7493521314955665</x:v>
      </x:c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</x:row>
    <x:row r="133">
      <x:c r="A133" s="10" t="n">
        <x:v>129</x:v>
      </x:c>
      <x:c r="B133" s="11" t="n">
        <x:v>2.1805431870673235</x:v>
      </x:c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</x:row>
    <x:row r="134">
      <x:c r="A134" s="10" t="n">
        <x:v>130</x:v>
      </x:c>
      <x:c r="B134" s="11" t="n">
        <x:v>1.3362696384556496</x:v>
      </x:c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</x:row>
    <x:row r="135">
      <x:c r="A135" s="10" t="n">
        <x:v>131</x:v>
      </x:c>
      <x:c r="B135" s="11" t="n">
        <x:v>1.7575525688766416</x:v>
      </x:c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</x:row>
    <x:row r="136">
      <x:c r="A136" s="10" t="n">
        <x:v>132</x:v>
      </x:c>
      <x:c r="B136" s="11" t="n">
        <x:v>1.2574916307542885</x:v>
      </x:c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</x:row>
    <x:row r="137">
      <x:c r="A137" s="10" t="n">
        <x:v>133</x:v>
      </x:c>
      <x:c r="B137" s="11" t="n">
        <x:v>2.9827850217528113</x:v>
      </x:c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</x:row>
    <x:row r="138">
      <x:c r="A138" s="10" t="n">
        <x:v>134</x:v>
      </x:c>
      <x:c r="B138" s="11" t="n">
        <x:v>4.327780328085535</x:v>
      </x:c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</x:row>
    <x:row r="139">
      <x:c r="A139" s="10" t="n">
        <x:v>135</x:v>
      </x:c>
      <x:c r="B139" s="11" t="n">
        <x:v>4.565583482429978</x:v>
      </x:c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</x:row>
    <x:row r="140">
      <x:c r="A140" s="10" t="n">
        <x:v>136</x:v>
      </x:c>
      <x:c r="B140" s="11" t="n">
        <x:v>3.346431646353099</x:v>
      </x:c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</x:row>
    <x:row r="141">
      <x:c r="A141" s="10" t="n">
        <x:v>137</x:v>
      </x:c>
      <x:c r="B141" s="11" t="n">
        <x:v>13.459634708400785</x:v>
      </x:c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</x:row>
    <x:row r="142">
      <x:c r="A142" s="10" t="n">
        <x:v>138</x:v>
      </x:c>
      <x:c r="B142" s="11" t="n">
        <x:v>5.160428074417381</x:v>
      </x:c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</x:row>
    <x:row r="143">
      <x:c r="A143" s="10" t="n">
        <x:v>139</x:v>
      </x:c>
      <x:c r="B143" s="11" t="n">
        <x:v>69.15622636127019</x:v>
      </x:c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</x:row>
    <x:row r="144">
      <x:c r="A144" s="10" t="n">
        <x:v>140</x:v>
      </x:c>
      <x:c r="B144" s="11" t="n">
        <x:v>2.5529428297198375</x:v>
      </x:c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</x:row>
    <x:row r="145">
      <x:c r="A145" s="10" t="n">
        <x:v>141</x:v>
      </x:c>
      <x:c r="B145" s="11" t="n">
        <x:v>1.2683778275777804</x:v>
      </x:c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</x:row>
    <x:row r="146">
      <x:c r="A146" s="10" t="n">
        <x:v>142</x:v>
      </x:c>
      <x:c r="B146" s="11" t="n">
        <x:v>3.0099871285962476</x:v>
      </x:c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</x:row>
    <x:row r="147">
      <x:c r="A147" s="10" t="n">
        <x:v>143</x:v>
      </x:c>
      <x:c r="B147" s="11" t="n">
        <x:v>0.10661433897945216</x:v>
      </x:c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</x:row>
    <x:row r="148">
      <x:c r="A148" s="10" t="n">
        <x:v>144</x:v>
      </x:c>
      <x:c r="B148" s="11" t="n">
        <x:v>0.12226543652540495</x:v>
      </x:c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</x:row>
    <x:row r="149">
      <x:c r="A149" s="10" t="n">
        <x:v>145</x:v>
      </x:c>
      <x:c r="B149" s="11" t="n">
        <x:v>11.743987951720406</x:v>
      </x:c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</x:row>
    <x:row r="150">
      <x:c r="A150" s="10" t="n">
        <x:v>146</x:v>
      </x:c>
      <x:c r="B150" s="11" t="n">
        <x:v>4.308916467818682</x:v>
      </x:c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</x:row>
    <x:row r="151">
      <x:c r="A151" s="10" t="n">
        <x:v>147</x:v>
      </x:c>
      <x:c r="B151" s="11" t="n">
        <x:v>1.088612114362792</x:v>
      </x:c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</x:row>
    <x:row r="152">
      <x:c r="A152" s="10" t="n">
        <x:v>148</x:v>
      </x:c>
      <x:c r="B152" s="11" t="n">
        <x:v>0.22838052382855595</x:v>
      </x:c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</x:row>
    <x:row r="153">
      <x:c r="A153" s="10" t="n">
        <x:v>149</x:v>
      </x:c>
      <x:c r="B153" s="11" t="n">
        <x:v>4.242930555872892</x:v>
      </x:c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</x:row>
    <x:row r="154">
      <x:c r="A154" s="10" t="n">
        <x:v>150</x:v>
      </x:c>
      <x:c r="B154" s="11" t="n">
        <x:v>0.8396769478977242</x:v>
      </x:c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</x:row>
    <x:row r="155">
      <x:c r="A155" s="10" t="n">
        <x:v>151</x:v>
      </x:c>
      <x:c r="B155" s="11" t="n">
        <x:v>0.9717295863077607</x:v>
      </x:c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</x:row>
    <x:row r="156">
      <x:c r="A156" s="10" t="n">
        <x:v>152</x:v>
      </x:c>
      <x:c r="B156" s="11" t="n">
        <x:v>0.7285717701516119</x:v>
      </x:c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</x:row>
    <x:row r="157">
      <x:c r="A157" s="10" t="n">
        <x:v>153</x:v>
      </x:c>
      <x:c r="B157" s="11" t="n">
        <x:v>7.101717425270229</x:v>
      </x:c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</x:row>
    <x:row r="158">
      <x:c r="A158" s="10" t="n">
        <x:v>154</x:v>
      </x:c>
      <x:c r="B158" s="11" t="n">
        <x:v>8.767555638442726</x:v>
      </x:c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</x:row>
    <x:row r="159">
      <x:c r="A159" s="10" t="n">
        <x:v>155</x:v>
      </x:c>
      <x:c r="B159" s="11" t="n">
        <x:v>0.13799157812195204</x:v>
      </x:c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</x:row>
    <x:row r="160">
      <x:c r="A160" s="10" t="n">
        <x:v>156</x:v>
      </x:c>
      <x:c r="B160" s="11" t="n">
        <x:v>5.134941387613727</x:v>
      </x:c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</x:row>
    <x:row r="161">
      <x:c r="A161" s="10" t="n">
        <x:v>157</x:v>
      </x:c>
      <x:c r="B161" s="11" t="n">
        <x:v>1.3206613687627564</x:v>
      </x:c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</x:row>
    <x:row r="162">
      <x:c r="A162" s="10" t="n">
        <x:v>158</x:v>
      </x:c>
      <x:c r="B162" s="11" t="n">
        <x:v>4.486413348226658</x:v>
      </x:c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</x:row>
    <x:row r="163">
      <x:c r="A163" s="10" t="n">
        <x:v>159</x:v>
      </x:c>
      <x:c r="B163" s="11" t="n">
        <x:v>3.7775764734337276</x:v>
      </x:c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</x:row>
    <x:row r="164">
      <x:c r="A164" s="10" t="n">
        <x:v>160</x:v>
      </x:c>
      <x:c r="B164" s="11" t="n">
        <x:v>11.582023645157918</x:v>
      </x:c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</x:row>
    <x:row r="165">
      <x:c r="A165" s="10" t="n">
        <x:v>161</x:v>
      </x:c>
      <x:c r="B165" s="11" t="n">
        <x:v>1.534074093710431</x:v>
      </x:c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</x:row>
    <x:row r="166">
      <x:c r="A166" s="10" t="n">
        <x:v>162</x:v>
      </x:c>
      <x:c r="B166" s="11" t="n">
        <x:v>0.582505762501133</x:v>
      </x:c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</x:row>
    <x:row r="167">
      <x:c r="A167" s="10" t="n">
        <x:v>163</x:v>
      </x:c>
      <x:c r="B167" s="11" t="n">
        <x:v>9.184455744645682</x:v>
      </x:c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</x:row>
    <x:row r="168">
      <x:c r="A168" s="10" t="n">
        <x:v>164</x:v>
      </x:c>
      <x:c r="B168" s="11" t="n">
        <x:v>1.016591718665131</x:v>
      </x:c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</x:row>
    <x:row r="169">
      <x:c r="A169" s="10" t="n">
        <x:v>165</x:v>
      </x:c>
      <x:c r="B169" s="11" t="n">
        <x:v>2.6132258419453014</x:v>
      </x:c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</x:row>
    <x:row r="170">
      <x:c r="A170" s="10" t="n">
        <x:v>166</x:v>
      </x:c>
      <x:c r="B170" s="11" t="n">
        <x:v>3.978355246363974</x:v>
      </x:c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</x:row>
    <x:row r="171">
      <x:c r="A171" s="10" t="n">
        <x:v>167</x:v>
      </x:c>
      <x:c r="B171" s="11" t="n">
        <x:v>10.301828629993395</x:v>
      </x:c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</x:row>
    <x:row r="172">
      <x:c r="A172" s="10" t="n">
        <x:v>168</x:v>
      </x:c>
      <x:c r="B172" s="11" t="n">
        <x:v>0.8849849636679817</x:v>
      </x:c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</x:row>
    <x:row r="173">
      <x:c r="A173" s="10" t="n">
        <x:v>169</x:v>
      </x:c>
      <x:c r="B173" s="11" t="n">
        <x:v>0.38734717344042074</x:v>
      </x:c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</x:row>
    <x:row r="174">
      <x:c r="A174" s="10" t="n">
        <x:v>170</x:v>
      </x:c>
      <x:c r="B174" s="11" t="n">
        <x:v>1.2847751729819021</x:v>
      </x:c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</x:row>
    <x:row r="175">
      <x:c r="A175" s="10" t="n">
        <x:v>171</x:v>
      </x:c>
      <x:c r="B175" s="11" t="n">
        <x:v>1.6156130225686625</x:v>
      </x:c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</x:row>
    <x:row r="176">
      <x:c r="A176" s="10" t="n">
        <x:v>172</x:v>
      </x:c>
      <x:c r="B176" s="11" t="n">
        <x:v>9.200962229203544</x:v>
      </x:c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</x:row>
    <x:row r="177">
      <x:c r="A177" s="10" t="n">
        <x:v>173</x:v>
      </x:c>
      <x:c r="B177" s="11" t="n">
        <x:v>15.339330780907554</x:v>
      </x:c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</x:row>
    <x:row r="178">
      <x:c r="A178" s="10" t="n">
        <x:v>174</x:v>
      </x:c>
      <x:c r="B178" s="11" t="n">
        <x:v>1.7578946991183262</x:v>
      </x:c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</x:row>
    <x:row r="179">
      <x:c r="A179" s="10" t="n">
        <x:v>175</x:v>
      </x:c>
      <x:c r="B179" s="11" t="n">
        <x:v>6.240334419087975</x:v>
      </x:c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</x:row>
    <x:row r="180">
      <x:c r="A180" s="10" t="n">
        <x:v>176</x:v>
      </x:c>
      <x:c r="B180" s="11" t="n">
        <x:v>13.741351991383045</x:v>
      </x:c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</x:row>
    <x:row r="181">
      <x:c r="A181" s="10" t="n">
        <x:v>177</x:v>
      </x:c>
      <x:c r="B181" s="11" t="n">
        <x:v>0.7316980992024844</x:v>
      </x:c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</x:row>
    <x:row r="182">
      <x:c r="A182" s="10" t="n">
        <x:v>178</x:v>
      </x:c>
      <x:c r="B182" s="11" t="n">
        <x:v>1.9687947335248106</x:v>
      </x:c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</x:row>
    <x:row r="183">
      <x:c r="A183" s="10" t="n">
        <x:v>179</x:v>
      </x:c>
      <x:c r="B183" s="11" t="n">
        <x:v>0.9986274511086903</x:v>
      </x:c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</x:row>
    <x:row r="184">
      <x:c r="A184" s="10" t="n">
        <x:v>180</x:v>
      </x:c>
      <x:c r="B184" s="11" t="n">
        <x:v>0.955481794850903</x:v>
      </x:c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</x:row>
    <x:row r="185">
      <x:c r="A185" s="10" t="n">
        <x:v>181</x:v>
      </x:c>
      <x:c r="B185" s="11" t="n">
        <x:v>37.326238794771584</x:v>
      </x:c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</x:row>
    <x:row r="186">
      <x:c r="A186" s="10" t="n">
        <x:v>182</x:v>
      </x:c>
      <x:c r="B186" s="11" t="n">
        <x:v>8.34631234599939</x:v>
      </x:c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</x:row>
    <x:row r="187">
      <x:c r="A187" s="10" t="n">
        <x:v>183</x:v>
      </x:c>
      <x:c r="B187" s="11" t="n">
        <x:v>2.154955718888099</x:v>
      </x:c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</x:row>
    <x:row r="188">
      <x:c r="A188" s="10" t="n">
        <x:v>184</x:v>
      </x:c>
      <x:c r="B188" s="11" t="n">
        <x:v>7.075645494985943</x:v>
      </x:c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</x:row>
    <x:row r="189">
      <x:c r="A189" s="10" t="n">
        <x:v>185</x:v>
      </x:c>
      <x:c r="B189" s="11" t="n">
        <x:v>6.379456038538617</x:v>
      </x:c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</x:row>
    <x:row r="190">
      <x:c r="A190" s="10" t="n">
        <x:v>186</x:v>
      </x:c>
      <x:c r="B190" s="11" t="n">
        <x:v>3.0531218550249646</x:v>
      </x:c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</x:row>
    <x:row r="191">
      <x:c r="A191" s="10" t="n">
        <x:v>187</x:v>
      </x:c>
      <x:c r="B191" s="11" t="n">
        <x:v>0.8609510446205931</x:v>
      </x:c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</x:row>
    <x:row r="192">
      <x:c r="A192" s="10" t="n">
        <x:v>188</x:v>
      </x:c>
      <x:c r="B192" s="11" t="n">
        <x:v>3.2296915744244292</x:v>
      </x:c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</x:row>
    <x:row r="193">
      <x:c r="A193" s="10" t="n">
        <x:v>189</x:v>
      </x:c>
      <x:c r="B193" s="11" t="n">
        <x:v>2.0912788079228233</x:v>
      </x:c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</x:row>
    <x:row r="194">
      <x:c r="A194" s="10" t="n">
        <x:v>190</x:v>
      </x:c>
      <x:c r="B194" s="11" t="n">
        <x:v>5.4262954233292895</x:v>
      </x:c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</x:row>
    <x:row r="195">
      <x:c r="A195" s="10" t="n">
        <x:v>191</x:v>
      </x:c>
      <x:c r="B195" s="11" t="n">
        <x:v>4.933821256875392</x:v>
      </x:c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</x:row>
    <x:row r="196">
      <x:c r="A196" s="10" t="n">
        <x:v>192</x:v>
      </x:c>
      <x:c r="B196" s="11" t="n">
        <x:v>3.2891790207151894</x:v>
      </x:c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</x:row>
    <x:row r="197">
      <x:c r="A197" s="10" t="n">
        <x:v>193</x:v>
      </x:c>
      <x:c r="B197" s="11" t="n">
        <x:v>0.5837014721603608</x:v>
      </x:c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</x:row>
    <x:row r="198">
      <x:c r="A198" s="10" t="n">
        <x:v>194</x:v>
      </x:c>
      <x:c r="B198" s="11" t="n">
        <x:v>3.3141041623319456</x:v>
      </x:c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</x:row>
    <x:row r="199">
      <x:c r="A199" s="10" t="n">
        <x:v>195</x:v>
      </x:c>
      <x:c r="B199" s="11" t="n">
        <x:v>2.140698072317893</x:v>
      </x:c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</x:row>
    <x:row r="200">
      <x:c r="A200" s="10" t="n">
        <x:v>196</x:v>
      </x:c>
      <x:c r="B200" s="11" t="n">
        <x:v>1.2343683639313194</x:v>
      </x:c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</x:row>
    <x:row r="201">
      <x:c r="A201" s="10" t="n">
        <x:v>197</x:v>
      </x:c>
      <x:c r="B201" s="11" t="n">
        <x:v>4.742199062969225</x:v>
      </x:c>
      <x:c r="C201" s="13"/>
      <x:c r="D201" s="13"/>
      <x:c r="E201" s="13"/>
      <x:c r="F201" s="13"/>
      <x:c r="G201" s="13"/>
      <x:c r="H201" s="13"/>
      <x:c r="I201" s="13"/>
      <x:c r="J201" s="13"/>
      <x:c r="K201" s="13"/>
      <x:c r="L201" s="13"/>
    </x:row>
    <x:row r="202">
      <x:c r="A202" s="10" t="n">
        <x:v>198</x:v>
      </x:c>
      <x:c r="B202" s="11" t="n">
        <x:v>7.862291176399348</x:v>
      </x:c>
      <x:c r="C202" s="13"/>
      <x:c r="D202" s="13"/>
      <x:c r="E202" s="13"/>
      <x:c r="F202" s="13"/>
      <x:c r="G202" s="13"/>
      <x:c r="H202" s="13"/>
      <x:c r="I202" s="13"/>
      <x:c r="J202" s="13"/>
      <x:c r="K202" s="13"/>
      <x:c r="L202" s="13"/>
    </x:row>
    <x:row r="203">
      <x:c r="A203" s="10" t="n">
        <x:v>199</x:v>
      </x:c>
      <x:c r="B203" s="11" t="n">
        <x:v>1.7345408973959575</x:v>
      </x:c>
      <x:c r="C203" s="13"/>
      <x:c r="D203" s="13"/>
      <x:c r="E203" s="13"/>
      <x:c r="F203" s="13"/>
      <x:c r="G203" s="13"/>
      <x:c r="H203" s="13"/>
      <x:c r="I203" s="13"/>
      <x:c r="J203" s="13"/>
      <x:c r="K203" s="13"/>
      <x:c r="L203" s="13"/>
    </x:row>
    <x:row r="204">
      <x:c r="A204" s="10" t="n">
        <x:v>200</x:v>
      </x:c>
      <x:c r="B204" s="11" t="n">
        <x:v>19.40781994192111</x:v>
      </x:c>
      <x:c r="C204" s="13"/>
      <x:c r="D204" s="13"/>
      <x:c r="E204" s="13"/>
      <x:c r="F204" s="13"/>
      <x:c r="G204" s="13"/>
      <x:c r="H204" s="13"/>
      <x:c r="I204" s="13"/>
      <x:c r="J204" s="13"/>
      <x:c r="K204" s="13"/>
      <x:c r="L204" s="13"/>
    </x:row>
    <x:row r="205">
      <x:c r="A205" s="10" t="n">
        <x:v>201</x:v>
      </x:c>
      <x:c r="B205" s="11" t="n">
        <x:v>0.6600461910789428</x:v>
      </x:c>
      <x:c r="C205" s="13"/>
      <x:c r="D205" s="13"/>
      <x:c r="E205" s="13"/>
      <x:c r="F205" s="13"/>
      <x:c r="G205" s="13"/>
      <x:c r="H205" s="13"/>
      <x:c r="I205" s="13"/>
      <x:c r="J205" s="13"/>
      <x:c r="K205" s="13"/>
      <x:c r="L205" s="13"/>
    </x:row>
    <x:row r="206">
      <x:c r="A206" s="10" t="n">
        <x:v>202</x:v>
      </x:c>
      <x:c r="B206" s="11" t="n">
        <x:v>5.514909058917315</x:v>
      </x:c>
      <x:c r="C206" s="13"/>
      <x:c r="D206" s="13"/>
      <x:c r="E206" s="13"/>
      <x:c r="F206" s="13"/>
      <x:c r="G206" s="13"/>
      <x:c r="H206" s="13"/>
      <x:c r="I206" s="13"/>
      <x:c r="J206" s="13"/>
      <x:c r="K206" s="13"/>
      <x:c r="L206" s="13"/>
    </x:row>
    <x:row r="207">
      <x:c r="A207" s="10" t="n">
        <x:v>203</x:v>
      </x:c>
      <x:c r="B207" s="11" t="n">
        <x:v>5.228719717415517</x:v>
      </x:c>
      <x:c r="C207" s="13"/>
      <x:c r="D207" s="13"/>
      <x:c r="E207" s="13"/>
      <x:c r="F207" s="13"/>
      <x:c r="G207" s="13"/>
      <x:c r="H207" s="13"/>
      <x:c r="I207" s="13"/>
      <x:c r="J207" s="13"/>
      <x:c r="K207" s="13"/>
      <x:c r="L207" s="13"/>
    </x:row>
    <x:row r="208">
      <x:c r="A208" s="10" t="n">
        <x:v>204</x:v>
      </x:c>
      <x:c r="B208" s="11" t="n">
        <x:v>0.4596670895011587</x:v>
      </x:c>
      <x:c r="C208" s="13"/>
      <x:c r="D208" s="13"/>
      <x:c r="E208" s="13"/>
      <x:c r="F208" s="13"/>
      <x:c r="G208" s="13"/>
      <x:c r="H208" s="13"/>
      <x:c r="I208" s="13"/>
      <x:c r="J208" s="13"/>
      <x:c r="K208" s="13"/>
      <x:c r="L208" s="13"/>
    </x:row>
    <x:row r="209">
      <x:c r="A209" s="10" t="n">
        <x:v>205</x:v>
      </x:c>
      <x:c r="B209" s="11" t="n">
        <x:v>0.10258410923029823</x:v>
      </x:c>
      <x:c r="C209" s="13"/>
      <x:c r="D209" s="13"/>
      <x:c r="E209" s="13"/>
      <x:c r="F209" s="13"/>
      <x:c r="G209" s="13"/>
      <x:c r="H209" s="13"/>
      <x:c r="I209" s="13"/>
      <x:c r="J209" s="13"/>
      <x:c r="K209" s="13"/>
      <x:c r="L209" s="13"/>
    </x:row>
    <x:row r="210">
      <x:c r="A210" s="10" t="n">
        <x:v>206</x:v>
      </x:c>
      <x:c r="B210" s="11" t="n">
        <x:v>35.51361945246259</x:v>
      </x:c>
      <x:c r="C210" s="13"/>
      <x:c r="D210" s="13"/>
      <x:c r="E210" s="13"/>
      <x:c r="F210" s="13"/>
      <x:c r="G210" s="13"/>
      <x:c r="H210" s="13"/>
      <x:c r="I210" s="13"/>
      <x:c r="J210" s="13"/>
      <x:c r="K210" s="13"/>
      <x:c r="L210" s="13"/>
    </x:row>
    <x:row r="211">
      <x:c r="A211" s="10" t="n">
        <x:v>207</x:v>
      </x:c>
      <x:c r="B211" s="11" t="n">
        <x:v>2.05680451360318</x:v>
      </x:c>
      <x:c r="C211" s="13"/>
      <x:c r="D211" s="13"/>
      <x:c r="E211" s="13"/>
      <x:c r="F211" s="13"/>
      <x:c r="G211" s="13"/>
      <x:c r="H211" s="13"/>
      <x:c r="I211" s="13"/>
      <x:c r="J211" s="13"/>
      <x:c r="K211" s="13"/>
      <x:c r="L211" s="13"/>
    </x:row>
    <x:row r="212">
      <x:c r="A212" s="10" t="n">
        <x:v>208</x:v>
      </x:c>
      <x:c r="B212" s="11" t="n">
        <x:v>2.69939119296237</x:v>
      </x:c>
      <x:c r="C212" s="13"/>
      <x:c r="D212" s="13"/>
      <x:c r="E212" s="13"/>
      <x:c r="F212" s="13"/>
      <x:c r="G212" s="13"/>
      <x:c r="H212" s="13"/>
      <x:c r="I212" s="13"/>
      <x:c r="J212" s="13"/>
      <x:c r="K212" s="13"/>
      <x:c r="L212" s="13"/>
    </x:row>
    <x:row r="213">
      <x:c r="A213" s="10" t="n">
        <x:v>209</x:v>
      </x:c>
      <x:c r="B213" s="11" t="n">
        <x:v>2.0139838305258695</x:v>
      </x:c>
      <x:c r="C213" s="13"/>
      <x:c r="D213" s="13"/>
      <x:c r="E213" s="13"/>
      <x:c r="F213" s="13"/>
      <x:c r="G213" s="13"/>
      <x:c r="H213" s="13"/>
      <x:c r="I213" s="13"/>
      <x:c r="J213" s="13"/>
      <x:c r="K213" s="13"/>
      <x:c r="L213" s="13"/>
    </x:row>
    <x:row r="214">
      <x:c r="A214" s="10" t="n">
        <x:v>210</x:v>
      </x:c>
      <x:c r="B214" s="11" t="n">
        <x:v>1.398842873712645</x:v>
      </x:c>
      <x:c r="C214" s="13"/>
      <x:c r="D214" s="13"/>
      <x:c r="E214" s="13"/>
      <x:c r="F214" s="13"/>
      <x:c r="G214" s="13"/>
      <x:c r="H214" s="13"/>
      <x:c r="I214" s="13"/>
      <x:c r="J214" s="13"/>
      <x:c r="K214" s="13"/>
      <x:c r="L214" s="13"/>
    </x:row>
    <x:row r="215">
      <x:c r="A215" s="10" t="n">
        <x:v>211</x:v>
      </x:c>
      <x:c r="B215" s="11" t="n">
        <x:v>0.13872243654293517</x:v>
      </x:c>
      <x:c r="C215" s="13"/>
      <x:c r="D215" s="13"/>
      <x:c r="E215" s="13"/>
      <x:c r="F215" s="13"/>
      <x:c r="G215" s="13"/>
      <x:c r="H215" s="13"/>
      <x:c r="I215" s="13"/>
      <x:c r="J215" s="13"/>
      <x:c r="K215" s="13"/>
      <x:c r="L215" s="13"/>
    </x:row>
    <x:row r="216">
      <x:c r="A216" s="10" t="n">
        <x:v>212</x:v>
      </x:c>
      <x:c r="B216" s="11" t="n">
        <x:v>6.110361411123756</x:v>
      </x:c>
      <x:c r="C216" s="13"/>
      <x:c r="D216" s="13"/>
      <x:c r="E216" s="13"/>
      <x:c r="F216" s="13"/>
      <x:c r="G216" s="13"/>
      <x:c r="H216" s="13"/>
      <x:c r="I216" s="13"/>
      <x:c r="J216" s="13"/>
      <x:c r="K216" s="13"/>
      <x:c r="L216" s="13"/>
    </x:row>
    <x:row r="217">
      <x:c r="A217" s="10" t="n">
        <x:v>213</x:v>
      </x:c>
      <x:c r="B217" s="11" t="n">
        <x:v>30.18302734277707</x:v>
      </x:c>
      <x:c r="C217" s="13"/>
      <x:c r="D217" s="13"/>
      <x:c r="E217" s="13"/>
      <x:c r="F217" s="13"/>
      <x:c r="G217" s="13"/>
      <x:c r="H217" s="13"/>
      <x:c r="I217" s="13"/>
      <x:c r="J217" s="13"/>
      <x:c r="K217" s="13"/>
      <x:c r="L217" s="13"/>
    </x:row>
    <x:row r="218">
      <x:c r="A218" s="10" t="n">
        <x:v>214</x:v>
      </x:c>
      <x:c r="B218" s="11" t="n">
        <x:v>3.768405651741671</x:v>
      </x:c>
      <x:c r="C218" s="13"/>
      <x:c r="D218" s="13"/>
      <x:c r="E218" s="13"/>
      <x:c r="F218" s="13"/>
      <x:c r="G218" s="13"/>
      <x:c r="H218" s="13"/>
      <x:c r="I218" s="13"/>
      <x:c r="J218" s="13"/>
      <x:c r="K218" s="13"/>
      <x:c r="L218" s="13"/>
    </x:row>
    <x:row r="219">
      <x:c r="A219" s="10" t="n">
        <x:v>215</x:v>
      </x:c>
      <x:c r="B219" s="11" t="n">
        <x:v>2.5955101466752026</x:v>
      </x:c>
      <x:c r="C219" s="13"/>
      <x:c r="D219" s="13"/>
      <x:c r="E219" s="13"/>
      <x:c r="F219" s="13"/>
      <x:c r="G219" s="13"/>
      <x:c r="H219" s="13"/>
      <x:c r="I219" s="13"/>
      <x:c r="J219" s="13"/>
      <x:c r="K219" s="13"/>
      <x:c r="L219" s="13"/>
    </x:row>
    <x:row r="220">
      <x:c r="A220" s="10" t="n">
        <x:v>216</x:v>
      </x:c>
      <x:c r="B220" s="11" t="n">
        <x:v>9.717877893604363</x:v>
      </x:c>
      <x:c r="C220" s="13"/>
      <x:c r="D220" s="13"/>
      <x:c r="E220" s="13"/>
      <x:c r="F220" s="13"/>
      <x:c r="G220" s="13"/>
      <x:c r="H220" s="13"/>
      <x:c r="I220" s="13"/>
      <x:c r="J220" s="13"/>
      <x:c r="K220" s="13"/>
      <x:c r="L220" s="13"/>
    </x:row>
    <x:row r="221">
      <x:c r="A221" s="10" t="n">
        <x:v>217</x:v>
      </x:c>
      <x:c r="B221" s="11" t="n">
        <x:v>10.655619907748315</x:v>
      </x:c>
      <x:c r="C221" s="13"/>
      <x:c r="D221" s="13"/>
      <x:c r="E221" s="13"/>
      <x:c r="F221" s="13"/>
      <x:c r="G221" s="13"/>
      <x:c r="H221" s="13"/>
      <x:c r="I221" s="13"/>
      <x:c r="J221" s="13"/>
      <x:c r="K221" s="13"/>
      <x:c r="L221" s="13"/>
    </x:row>
    <x:row r="222">
      <x:c r="A222" s="10" t="n">
        <x:v>218</x:v>
      </x:c>
      <x:c r="B222" s="11" t="n">
        <x:v>0.6617603674656349</x:v>
      </x:c>
      <x:c r="C222" s="13"/>
      <x:c r="D222" s="13"/>
      <x:c r="E222" s="13"/>
      <x:c r="F222" s="13"/>
      <x:c r="G222" s="13"/>
      <x:c r="H222" s="13"/>
      <x:c r="I222" s="13"/>
      <x:c r="J222" s="13"/>
      <x:c r="K222" s="13"/>
      <x:c r="L222" s="13"/>
    </x:row>
    <x:row r="223">
      <x:c r="A223" s="10" t="n">
        <x:v>219</x:v>
      </x:c>
      <x:c r="B223" s="11" t="n">
        <x:v>2.2727054036256913</x:v>
      </x:c>
      <x:c r="C223" s="13"/>
      <x:c r="D223" s="13"/>
      <x:c r="E223" s="13"/>
      <x:c r="F223" s="13"/>
      <x:c r="G223" s="13"/>
      <x:c r="H223" s="13"/>
      <x:c r="I223" s="13"/>
      <x:c r="J223" s="13"/>
      <x:c r="K223" s="13"/>
      <x:c r="L223" s="13"/>
    </x:row>
    <x:row r="224">
      <x:c r="A224" s="10" t="n">
        <x:v>220</x:v>
      </x:c>
      <x:c r="B224" s="11" t="n">
        <x:v>5.553320721157875</x:v>
      </x:c>
      <x:c r="C224" s="13"/>
      <x:c r="D224" s="13"/>
      <x:c r="E224" s="13"/>
      <x:c r="F224" s="13"/>
      <x:c r="G224" s="13"/>
      <x:c r="H224" s="13"/>
      <x:c r="I224" s="13"/>
      <x:c r="J224" s="13"/>
      <x:c r="K224" s="13"/>
      <x:c r="L224" s="13"/>
    </x:row>
    <x:row r="225">
      <x:c r="A225" s="10" t="n">
        <x:v>221</x:v>
      </x:c>
      <x:c r="B225" s="11" t="n">
        <x:v>8.468427110590223</x:v>
      </x:c>
      <x:c r="C225" s="13"/>
      <x:c r="D225" s="13"/>
      <x:c r="E225" s="13"/>
      <x:c r="F225" s="13"/>
      <x:c r="G225" s="13"/>
      <x:c r="H225" s="13"/>
      <x:c r="I225" s="13"/>
      <x:c r="J225" s="13"/>
      <x:c r="K225" s="13"/>
      <x:c r="L225" s="13"/>
    </x:row>
    <x:row r="226">
      <x:c r="A226" s="10" t="n">
        <x:v>222</x:v>
      </x:c>
      <x:c r="B226" s="11" t="n">
        <x:v>20.45707395067213</x:v>
      </x:c>
      <x:c r="C226" s="13"/>
      <x:c r="D226" s="13"/>
      <x:c r="E226" s="13"/>
      <x:c r="F226" s="13"/>
      <x:c r="G226" s="13"/>
      <x:c r="H226" s="13"/>
      <x:c r="I226" s="13"/>
      <x:c r="J226" s="13"/>
      <x:c r="K226" s="13"/>
      <x:c r="L226" s="13"/>
    </x:row>
    <x:row r="227">
      <x:c r="A227" s="10" t="n">
        <x:v>223</x:v>
      </x:c>
      <x:c r="B227" s="11" t="n">
        <x:v>2.7073793743971297</x:v>
      </x:c>
      <x:c r="C227" s="13"/>
      <x:c r="D227" s="13"/>
      <x:c r="E227" s="13"/>
      <x:c r="F227" s="13"/>
      <x:c r="G227" s="13"/>
      <x:c r="H227" s="13"/>
      <x:c r="I227" s="13"/>
      <x:c r="J227" s="13"/>
      <x:c r="K227" s="13"/>
      <x:c r="L227" s="13"/>
    </x:row>
    <x:row r="228">
      <x:c r="A228" s="10" t="n">
        <x:v>224</x:v>
      </x:c>
      <x:c r="B228" s="11" t="n">
        <x:v>4.47072784937376</x:v>
      </x:c>
      <x:c r="C228" s="13"/>
      <x:c r="D228" s="13"/>
      <x:c r="E228" s="13"/>
      <x:c r="F228" s="13"/>
      <x:c r="G228" s="13"/>
      <x:c r="H228" s="13"/>
      <x:c r="I228" s="13"/>
      <x:c r="J228" s="13"/>
      <x:c r="K228" s="13"/>
      <x:c r="L228" s="13"/>
    </x:row>
    <x:row r="229">
      <x:c r="A229" s="10" t="n">
        <x:v>225</x:v>
      </x:c>
      <x:c r="B229" s="11" t="n">
        <x:v>1.6169237755320307</x:v>
      </x:c>
      <x:c r="C229" s="13"/>
      <x:c r="D229" s="13"/>
      <x:c r="E229" s="13"/>
      <x:c r="F229" s="13"/>
      <x:c r="G229" s="13"/>
      <x:c r="H229" s="13"/>
      <x:c r="I229" s="13"/>
      <x:c r="J229" s="13"/>
      <x:c r="K229" s="13"/>
      <x:c r="L229" s="13"/>
    </x:row>
    <x:row r="230">
      <x:c r="A230" s="10" t="n">
        <x:v>226</x:v>
      </x:c>
      <x:c r="B230" s="11" t="n">
        <x:v>1.8586494867524197</x:v>
      </x:c>
      <x:c r="C230" s="13"/>
      <x:c r="D230" s="13"/>
      <x:c r="E230" s="13"/>
      <x:c r="F230" s="13"/>
      <x:c r="G230" s="13"/>
      <x:c r="H230" s="13"/>
      <x:c r="I230" s="13"/>
      <x:c r="J230" s="13"/>
      <x:c r="K230" s="13"/>
      <x:c r="L230" s="13"/>
    </x:row>
    <x:row r="231">
      <x:c r="A231" s="10" t="n">
        <x:v>227</x:v>
      </x:c>
      <x:c r="B231" s="11" t="n">
        <x:v>0.7594652314539442</x:v>
      </x:c>
      <x:c r="C231" s="13"/>
      <x:c r="D231" s="13"/>
      <x:c r="E231" s="13"/>
      <x:c r="F231" s="13"/>
      <x:c r="G231" s="13"/>
      <x:c r="H231" s="13"/>
      <x:c r="I231" s="13"/>
      <x:c r="J231" s="13"/>
      <x:c r="K231" s="13"/>
      <x:c r="L231" s="13"/>
    </x:row>
    <x:row r="232">
      <x:c r="A232" s="10" t="n">
        <x:v>228</x:v>
      </x:c>
      <x:c r="B232" s="11" t="n">
        <x:v>0.5351491782587952</x:v>
      </x:c>
      <x:c r="C232" s="13"/>
      <x:c r="D232" s="13"/>
      <x:c r="E232" s="13"/>
      <x:c r="F232" s="13"/>
      <x:c r="G232" s="13"/>
      <x:c r="H232" s="13"/>
      <x:c r="I232" s="13"/>
      <x:c r="J232" s="13"/>
      <x:c r="K232" s="13"/>
      <x:c r="L232" s="13"/>
    </x:row>
    <x:row r="233">
      <x:c r="A233" s="10" t="n">
        <x:v>229</x:v>
      </x:c>
      <x:c r="B233" s="11" t="n">
        <x:v>35.59966135533779</x:v>
      </x:c>
      <x:c r="C233" s="13"/>
      <x:c r="D233" s="13"/>
      <x:c r="E233" s="13"/>
      <x:c r="F233" s="13"/>
      <x:c r="G233" s="13"/>
      <x:c r="H233" s="13"/>
      <x:c r="I233" s="13"/>
      <x:c r="J233" s="13"/>
      <x:c r="K233" s="13"/>
      <x:c r="L233" s="13"/>
    </x:row>
    <x:row r="234">
      <x:c r="A234" s="10" t="n">
        <x:v>230</x:v>
      </x:c>
      <x:c r="B234" s="11" t="n">
        <x:v>5.323735966620259</x:v>
      </x:c>
      <x:c r="C234" s="13"/>
      <x:c r="D234" s="13"/>
      <x:c r="E234" s="13"/>
      <x:c r="F234" s="13"/>
      <x:c r="G234" s="13"/>
      <x:c r="H234" s="13"/>
      <x:c r="I234" s="13"/>
      <x:c r="J234" s="13"/>
      <x:c r="K234" s="13"/>
      <x:c r="L234" s="13"/>
    </x:row>
    <x:row r="235">
      <x:c r="A235" s="10" t="n">
        <x:v>231</x:v>
      </x:c>
      <x:c r="B235" s="11" t="n">
        <x:v>0.564622230958737</x:v>
      </x:c>
      <x:c r="C235" s="13"/>
      <x:c r="D235" s="13"/>
      <x:c r="E235" s="13"/>
      <x:c r="F235" s="13"/>
      <x:c r="G235" s="13"/>
      <x:c r="H235" s="13"/>
      <x:c r="I235" s="13"/>
      <x:c r="J235" s="13"/>
      <x:c r="K235" s="13"/>
      <x:c r="L235" s="13"/>
    </x:row>
    <x:row r="236">
      <x:c r="A236" s="10" t="n">
        <x:v>232</x:v>
      </x:c>
      <x:c r="B236" s="11" t="n">
        <x:v>51.008327446334945</x:v>
      </x:c>
      <x:c r="C236" s="13"/>
      <x:c r="D236" s="13"/>
      <x:c r="E236" s="13"/>
      <x:c r="F236" s="13"/>
      <x:c r="G236" s="13"/>
      <x:c r="H236" s="13"/>
      <x:c r="I236" s="13"/>
      <x:c r="J236" s="13"/>
      <x:c r="K236" s="13"/>
      <x:c r="L236" s="13"/>
    </x:row>
    <x:row r="237">
      <x:c r="A237" s="10" t="n">
        <x:v>233</x:v>
      </x:c>
      <x:c r="B237" s="11" t="n">
        <x:v>0.3325005213261994</x:v>
      </x:c>
      <x:c r="C237" s="13"/>
      <x:c r="D237" s="13"/>
      <x:c r="E237" s="13"/>
      <x:c r="F237" s="13"/>
      <x:c r="G237" s="13"/>
      <x:c r="H237" s="13"/>
      <x:c r="I237" s="13"/>
      <x:c r="J237" s="13"/>
      <x:c r="K237" s="13"/>
      <x:c r="L237" s="13"/>
    </x:row>
    <x:row r="238">
      <x:c r="A238" s="10" t="n">
        <x:v>234</x:v>
      </x:c>
      <x:c r="B238" s="11" t="n">
        <x:v>0.27953683193171774</x:v>
      </x:c>
      <x:c r="C238" s="13"/>
      <x:c r="D238" s="13"/>
      <x:c r="E238" s="13"/>
      <x:c r="F238" s="13"/>
      <x:c r="G238" s="13"/>
      <x:c r="H238" s="13"/>
      <x:c r="I238" s="13"/>
      <x:c r="J238" s="13"/>
      <x:c r="K238" s="13"/>
      <x:c r="L238" s="13"/>
    </x:row>
    <x:row r="239">
      <x:c r="A239" s="10" t="n">
        <x:v>235</x:v>
      </x:c>
      <x:c r="B239" s="11" t="n">
        <x:v>1.5715178847539788</x:v>
      </x:c>
      <x:c r="C239" s="13"/>
      <x:c r="D239" s="13"/>
      <x:c r="E239" s="13"/>
      <x:c r="F239" s="13"/>
      <x:c r="G239" s="13"/>
      <x:c r="H239" s="13"/>
      <x:c r="I239" s="13"/>
      <x:c r="J239" s="13"/>
      <x:c r="K239" s="13"/>
      <x:c r="L239" s="13"/>
    </x:row>
    <x:row r="240">
      <x:c r="A240" s="10" t="n">
        <x:v>236</x:v>
      </x:c>
      <x:c r="B240" s="11" t="n">
        <x:v>10.887988398373125</x:v>
      </x:c>
      <x:c r="C240" s="13"/>
      <x:c r="D240" s="13"/>
      <x:c r="E240" s="13"/>
      <x:c r="F240" s="13"/>
      <x:c r="G240" s="13"/>
      <x:c r="H240" s="13"/>
      <x:c r="I240" s="13"/>
      <x:c r="J240" s="13"/>
      <x:c r="K240" s="13"/>
      <x:c r="L240" s="13"/>
    </x:row>
    <x:row r="241">
      <x:c r="A241" s="10" t="n">
        <x:v>237</x:v>
      </x:c>
      <x:c r="B241" s="11" t="n">
        <x:v>2.550545690172693</x:v>
      </x:c>
      <x:c r="C241" s="13"/>
      <x:c r="D241" s="13"/>
      <x:c r="E241" s="13"/>
      <x:c r="F241" s="13"/>
      <x:c r="G241" s="13"/>
      <x:c r="H241" s="13"/>
      <x:c r="I241" s="13"/>
      <x:c r="J241" s="13"/>
      <x:c r="K241" s="13"/>
      <x:c r="L241" s="13"/>
    </x:row>
    <x:row r="242">
      <x:c r="A242" s="10" t="n">
        <x:v>238</x:v>
      </x:c>
      <x:c r="B242" s="11" t="n">
        <x:v>0.11313518967063299</x:v>
      </x:c>
      <x:c r="C242" s="13"/>
      <x:c r="D242" s="13"/>
      <x:c r="E242" s="13"/>
      <x:c r="F242" s="13"/>
      <x:c r="G242" s="13"/>
      <x:c r="H242" s="13"/>
      <x:c r="I242" s="13"/>
      <x:c r="J242" s="13"/>
      <x:c r="K242" s="13"/>
      <x:c r="L242" s="13"/>
    </x:row>
    <x:row r="243">
      <x:c r="A243" s="10" t="n">
        <x:v>239</x:v>
      </x:c>
      <x:c r="B243" s="11" t="n">
        <x:v>4.9396833345019315</x:v>
      </x:c>
      <x:c r="C243" s="13"/>
      <x:c r="D243" s="13"/>
      <x:c r="E243" s="13"/>
      <x:c r="F243" s="13"/>
      <x:c r="G243" s="13"/>
      <x:c r="H243" s="13"/>
      <x:c r="I243" s="13"/>
      <x:c r="J243" s="13"/>
      <x:c r="K243" s="13"/>
      <x:c r="L243" s="13"/>
    </x:row>
    <x:row r="244">
      <x:c r="A244" s="10" t="n">
        <x:v>240</x:v>
      </x:c>
      <x:c r="B244" s="11" t="n">
        <x:v>3.8062020275529336</x:v>
      </x:c>
      <x:c r="C244" s="13"/>
      <x:c r="D244" s="13"/>
      <x:c r="E244" s="13"/>
      <x:c r="F244" s="13"/>
      <x:c r="G244" s="13"/>
      <x:c r="H244" s="13"/>
      <x:c r="I244" s="13"/>
      <x:c r="J244" s="13"/>
      <x:c r="K244" s="13"/>
      <x:c r="L244" s="13"/>
    </x:row>
    <x:row r="245">
      <x:c r="A245" s="10" t="n">
        <x:v>241</x:v>
      </x:c>
      <x:c r="B245" s="11" t="n">
        <x:v>2.9449788828463923</x:v>
      </x:c>
      <x:c r="C245" s="13"/>
      <x:c r="D245" s="13"/>
      <x:c r="E245" s="13"/>
      <x:c r="F245" s="13"/>
      <x:c r="G245" s="13"/>
      <x:c r="H245" s="13"/>
      <x:c r="I245" s="13"/>
      <x:c r="J245" s="13"/>
      <x:c r="K245" s="13"/>
      <x:c r="L245" s="13"/>
    </x:row>
    <x:row r="246">
      <x:c r="A246" s="10" t="n">
        <x:v>242</x:v>
      </x:c>
      <x:c r="B246" s="11" t="n">
        <x:v>1.2435688681373165</x:v>
      </x:c>
      <x:c r="C246" s="13"/>
      <x:c r="D246" s="13"/>
      <x:c r="E246" s="13"/>
      <x:c r="F246" s="13"/>
      <x:c r="G246" s="13"/>
      <x:c r="H246" s="13"/>
      <x:c r="I246" s="13"/>
      <x:c r="J246" s="13"/>
      <x:c r="K246" s="13"/>
      <x:c r="L246" s="13"/>
    </x:row>
    <x:row r="247">
      <x:c r="A247" s="10" t="n">
        <x:v>243</x:v>
      </x:c>
      <x:c r="B247" s="11" t="n">
        <x:v>1.2692620778349277</x:v>
      </x:c>
      <x:c r="C247" s="13"/>
      <x:c r="D247" s="13"/>
      <x:c r="E247" s="13"/>
      <x:c r="F247" s="13"/>
      <x:c r="G247" s="13"/>
      <x:c r="H247" s="13"/>
      <x:c r="I247" s="13"/>
      <x:c r="J247" s="13"/>
      <x:c r="K247" s="13"/>
      <x:c r="L247" s="13"/>
    </x:row>
    <x:row r="248">
      <x:c r="A248" s="10" t="n">
        <x:v>244</x:v>
      </x:c>
      <x:c r="B248" s="11" t="n">
        <x:v>5.153194744515963</x:v>
      </x:c>
      <x:c r="C248" s="13"/>
      <x:c r="D248" s="13"/>
      <x:c r="E248" s="13"/>
      <x:c r="F248" s="13"/>
      <x:c r="G248" s="13"/>
      <x:c r="H248" s="13"/>
      <x:c r="I248" s="13"/>
      <x:c r="J248" s="13"/>
      <x:c r="K248" s="13"/>
      <x:c r="L248" s="13"/>
    </x:row>
    <x:row r="249">
      <x:c r="A249" s="10" t="n">
        <x:v>245</x:v>
      </x:c>
      <x:c r="B249" s="11" t="n">
        <x:v>1.5979689369628076</x:v>
      </x:c>
      <x:c r="C249" s="13"/>
      <x:c r="D249" s="13"/>
      <x:c r="E249" s="13"/>
      <x:c r="F249" s="13"/>
      <x:c r="G249" s="13"/>
      <x:c r="H249" s="13"/>
      <x:c r="I249" s="13"/>
      <x:c r="J249" s="13"/>
      <x:c r="K249" s="13"/>
      <x:c r="L249" s="13"/>
    </x:row>
    <x:row r="250">
      <x:c r="A250" s="10" t="n">
        <x:v>246</x:v>
      </x:c>
      <x:c r="B250" s="11" t="n">
        <x:v>3.6907008558027266</x:v>
      </x:c>
      <x:c r="C250" s="13"/>
      <x:c r="D250" s="13"/>
      <x:c r="E250" s="13"/>
      <x:c r="F250" s="13"/>
      <x:c r="G250" s="13"/>
      <x:c r="H250" s="13"/>
      <x:c r="I250" s="13"/>
      <x:c r="J250" s="13"/>
      <x:c r="K250" s="13"/>
      <x:c r="L250" s="13"/>
    </x:row>
    <x:row r="251">
      <x:c r="A251" s="10" t="n">
        <x:v>247</x:v>
      </x:c>
      <x:c r="B251" s="11" t="n">
        <x:v>5.598250623204729</x:v>
      </x:c>
      <x:c r="C251" s="13"/>
      <x:c r="D251" s="13"/>
      <x:c r="E251" s="13"/>
      <x:c r="F251" s="13"/>
      <x:c r="G251" s="13"/>
      <x:c r="H251" s="13"/>
      <x:c r="I251" s="13"/>
      <x:c r="J251" s="13"/>
      <x:c r="K251" s="13"/>
      <x:c r="L251" s="13"/>
    </x:row>
    <x:row r="252">
      <x:c r="A252" s="10" t="n">
        <x:v>248</x:v>
      </x:c>
      <x:c r="B252" s="11" t="n">
        <x:v>0.6609031672848058</x:v>
      </x:c>
      <x:c r="C252" s="13"/>
      <x:c r="D252" s="13"/>
      <x:c r="E252" s="13"/>
      <x:c r="F252" s="13"/>
      <x:c r="G252" s="13"/>
      <x:c r="H252" s="13"/>
      <x:c r="I252" s="13"/>
      <x:c r="J252" s="13"/>
      <x:c r="K252" s="13"/>
      <x:c r="L252" s="13"/>
    </x:row>
    <x:row r="253">
      <x:c r="A253" s="10" t="n">
        <x:v>249</x:v>
      </x:c>
      <x:c r="B253" s="11" t="n">
        <x:v>4.16182723109992</x:v>
      </x:c>
      <x:c r="C253" s="13"/>
      <x:c r="D253" s="13"/>
      <x:c r="E253" s="13"/>
      <x:c r="F253" s="13"/>
      <x:c r="G253" s="13"/>
      <x:c r="H253" s="13"/>
      <x:c r="I253" s="13"/>
      <x:c r="J253" s="13"/>
      <x:c r="K253" s="13"/>
      <x:c r="L253" s="13"/>
    </x:row>
    <x:row r="254">
      <x:c r="A254" s="10" t="n">
        <x:v>250</x:v>
      </x:c>
      <x:c r="B254" s="11" t="n">
        <x:v>95.4137053825292</x:v>
      </x:c>
      <x:c r="C254" s="13"/>
      <x:c r="D254" s="13"/>
      <x:c r="E254" s="13"/>
      <x:c r="F254" s="13"/>
      <x:c r="G254" s="13"/>
      <x:c r="H254" s="13"/>
      <x:c r="I254" s="13"/>
      <x:c r="J254" s="13"/>
      <x:c r="K254" s="13"/>
      <x:c r="L254" s="13"/>
    </x:row>
    <x:row r="255">
      <x:c r="A255" s="10" t="n">
        <x:v>251</x:v>
      </x:c>
      <x:c r="B255" s="11" t="n">
        <x:v>0.20017134092489436</x:v>
      </x:c>
      <x:c r="C255" s="13"/>
      <x:c r="D255" s="13"/>
      <x:c r="E255" s="13"/>
      <x:c r="F255" s="13"/>
      <x:c r="G255" s="13"/>
      <x:c r="H255" s="13"/>
      <x:c r="I255" s="13"/>
      <x:c r="J255" s="13"/>
      <x:c r="K255" s="13"/>
      <x:c r="L255" s="13"/>
    </x:row>
    <x:row r="256">
      <x:c r="A256" s="10" t="n">
        <x:v>252</x:v>
      </x:c>
      <x:c r="B256" s="11" t="n">
        <x:v>1.4063648983238193</x:v>
      </x:c>
      <x:c r="C256" s="13"/>
      <x:c r="D256" s="13"/>
      <x:c r="E256" s="13"/>
      <x:c r="F256" s="13"/>
      <x:c r="G256" s="13"/>
      <x:c r="H256" s="13"/>
      <x:c r="I256" s="13"/>
      <x:c r="J256" s="13"/>
      <x:c r="K256" s="13"/>
      <x:c r="L256" s="13"/>
    </x:row>
    <x:row r="257">
      <x:c r="A257" s="10" t="n">
        <x:v>253</x:v>
      </x:c>
      <x:c r="B257" s="11" t="n">
        <x:v>0.18234554886840695</x:v>
      </x:c>
      <x:c r="C257" s="13"/>
      <x:c r="D257" s="13"/>
      <x:c r="E257" s="13"/>
      <x:c r="F257" s="13"/>
      <x:c r="G257" s="13"/>
      <x:c r="H257" s="13"/>
      <x:c r="I257" s="13"/>
      <x:c r="J257" s="13"/>
      <x:c r="K257" s="13"/>
      <x:c r="L257" s="13"/>
    </x:row>
    <x:row r="258">
      <x:c r="A258" s="10" t="n">
        <x:v>254</x:v>
      </x:c>
      <x:c r="B258" s="11" t="n">
        <x:v>3.939865021551274</x:v>
      </x:c>
      <x:c r="C258" s="13"/>
      <x:c r="D258" s="13"/>
      <x:c r="E258" s="13"/>
      <x:c r="F258" s="13"/>
      <x:c r="G258" s="13"/>
      <x:c r="H258" s="13"/>
      <x:c r="I258" s="13"/>
      <x:c r="J258" s="13"/>
      <x:c r="K258" s="13"/>
      <x:c r="L258" s="13"/>
    </x:row>
    <x:row r="259">
      <x:c r="A259" s="10" t="n">
        <x:v>255</x:v>
      </x:c>
      <x:c r="B259" s="11" t="n">
        <x:v>0.4740930859408287</x:v>
      </x:c>
      <x:c r="C259" s="13"/>
      <x:c r="D259" s="13"/>
      <x:c r="E259" s="13"/>
      <x:c r="F259" s="13"/>
      <x:c r="G259" s="13"/>
      <x:c r="H259" s="13"/>
      <x:c r="I259" s="13"/>
      <x:c r="J259" s="13"/>
      <x:c r="K259" s="13"/>
      <x:c r="L259" s="13"/>
    </x:row>
    <x:row r="260">
      <x:c r="A260" s="10" t="n">
        <x:v>256</x:v>
      </x:c>
      <x:c r="B260" s="11" t="n">
        <x:v>280.9379398828715</x:v>
      </x:c>
      <x:c r="C260" s="13"/>
      <x:c r="D260" s="13"/>
      <x:c r="E260" s="13"/>
      <x:c r="F260" s="13"/>
      <x:c r="G260" s="13"/>
      <x:c r="H260" s="13"/>
      <x:c r="I260" s="13"/>
      <x:c r="J260" s="13"/>
      <x:c r="K260" s="13"/>
      <x:c r="L260" s="13"/>
    </x:row>
    <x:row r="261">
      <x:c r="A261" s="10" t="n">
        <x:v>257</x:v>
      </x:c>
      <x:c r="B261" s="11" t="n">
        <x:v>1.181135387423362</x:v>
      </x:c>
      <x:c r="C261" s="13"/>
      <x:c r="D261" s="13"/>
      <x:c r="E261" s="13"/>
      <x:c r="F261" s="13"/>
      <x:c r="G261" s="13"/>
      <x:c r="H261" s="13"/>
      <x:c r="I261" s="13"/>
      <x:c r="J261" s="13"/>
      <x:c r="K261" s="13"/>
      <x:c r="L261" s="13"/>
    </x:row>
    <x:row r="262">
      <x:c r="A262" s="10" t="n">
        <x:v>258</x:v>
      </x:c>
      <x:c r="B262" s="11" t="n">
        <x:v>0.30250723188727674</x:v>
      </x:c>
      <x:c r="C262" s="13"/>
      <x:c r="D262" s="13"/>
      <x:c r="E262" s="13"/>
      <x:c r="F262" s="13"/>
      <x:c r="G262" s="13"/>
      <x:c r="H262" s="13"/>
      <x:c r="I262" s="13"/>
      <x:c r="J262" s="13"/>
      <x:c r="K262" s="13"/>
      <x:c r="L262" s="13"/>
    </x:row>
    <x:row r="263">
      <x:c r="A263" s="10" t="n">
        <x:v>259</x:v>
      </x:c>
      <x:c r="B263" s="11" t="n">
        <x:v>30.72642561876149</x:v>
      </x:c>
      <x:c r="C263" s="13"/>
      <x:c r="D263" s="13"/>
      <x:c r="E263" s="13"/>
      <x:c r="F263" s="13"/>
      <x:c r="G263" s="13"/>
      <x:c r="H263" s="13"/>
      <x:c r="I263" s="13"/>
      <x:c r="J263" s="13"/>
      <x:c r="K263" s="13"/>
      <x:c r="L263" s="13"/>
    </x:row>
    <x:row r="264">
      <x:c r="A264" s="10" t="n">
        <x:v>260</x:v>
      </x:c>
      <x:c r="B264" s="11" t="n">
        <x:v>5.063395818266811</x:v>
      </x:c>
      <x:c r="C264" s="13"/>
      <x:c r="D264" s="13"/>
      <x:c r="E264" s="13"/>
      <x:c r="F264" s="13"/>
      <x:c r="G264" s="13"/>
      <x:c r="H264" s="13"/>
      <x:c r="I264" s="13"/>
      <x:c r="J264" s="13"/>
      <x:c r="K264" s="13"/>
      <x:c r="L264" s="13"/>
    </x:row>
    <x:row r="265">
      <x:c r="A265" s="10" t="n">
        <x:v>261</x:v>
      </x:c>
      <x:c r="B265" s="11" t="n">
        <x:v>3.3105318097299277</x:v>
      </x:c>
      <x:c r="C265" s="13"/>
      <x:c r="D265" s="13"/>
      <x:c r="E265" s="13"/>
      <x:c r="F265" s="13"/>
      <x:c r="G265" s="13"/>
      <x:c r="H265" s="13"/>
      <x:c r="I265" s="13"/>
      <x:c r="J265" s="13"/>
      <x:c r="K265" s="13"/>
      <x:c r="L265" s="13"/>
    </x:row>
    <x:row r="266">
      <x:c r="A266" s="10" t="n">
        <x:v>262</x:v>
      </x:c>
      <x:c r="B266" s="11" t="n">
        <x:v>3.344488535897843</x:v>
      </x:c>
      <x:c r="C266" s="13"/>
      <x:c r="D266" s="13"/>
      <x:c r="E266" s="13"/>
      <x:c r="F266" s="13"/>
      <x:c r="G266" s="13"/>
      <x:c r="H266" s="13"/>
      <x:c r="I266" s="13"/>
      <x:c r="J266" s="13"/>
      <x:c r="K266" s="13"/>
      <x:c r="L266" s="13"/>
    </x:row>
    <x:row r="267">
      <x:c r="A267" s="10" t="n">
        <x:v>263</x:v>
      </x:c>
      <x:c r="B267" s="11" t="n">
        <x:v>2.6428916293752436</x:v>
      </x:c>
      <x:c r="C267" s="13"/>
      <x:c r="D267" s="13"/>
      <x:c r="E267" s="13"/>
      <x:c r="F267" s="13"/>
      <x:c r="G267" s="13"/>
      <x:c r="H267" s="13"/>
      <x:c r="I267" s="13"/>
      <x:c r="J267" s="13"/>
      <x:c r="K267" s="13"/>
      <x:c r="L267" s="13"/>
    </x:row>
    <x:row r="268">
      <x:c r="A268" s="10" t="n">
        <x:v>264</x:v>
      </x:c>
      <x:c r="B268" s="11" t="n">
        <x:v>5.2763838668360545</x:v>
      </x:c>
      <x:c r="C268" s="13"/>
      <x:c r="D268" s="13"/>
      <x:c r="E268" s="13"/>
      <x:c r="F268" s="13"/>
      <x:c r="G268" s="13"/>
      <x:c r="H268" s="13"/>
      <x:c r="I268" s="13"/>
      <x:c r="J268" s="13"/>
      <x:c r="K268" s="13"/>
      <x:c r="L268" s="13"/>
    </x:row>
    <x:row r="269">
      <x:c r="A269" s="10" t="n">
        <x:v>265</x:v>
      </x:c>
      <x:c r="B269" s="11" t="n">
        <x:v>1.1804180296289108</x:v>
      </x:c>
      <x:c r="C269" s="13"/>
      <x:c r="D269" s="13"/>
      <x:c r="E269" s="13"/>
      <x:c r="F269" s="13"/>
      <x:c r="G269" s="13"/>
      <x:c r="H269" s="13"/>
      <x:c r="I269" s="13"/>
      <x:c r="J269" s="13"/>
      <x:c r="K269" s="13"/>
      <x:c r="L269" s="13"/>
    </x:row>
    <x:row r="270">
      <x:c r="A270" s="10" t="n">
        <x:v>266</x:v>
      </x:c>
      <x:c r="B270" s="11" t="n">
        <x:v>9.564595684845193</x:v>
      </x:c>
      <x:c r="C270" s="13"/>
      <x:c r="D270" s="13"/>
      <x:c r="E270" s="13"/>
      <x:c r="F270" s="13"/>
      <x:c r="G270" s="13"/>
      <x:c r="H270" s="13"/>
      <x:c r="I270" s="13"/>
      <x:c r="J270" s="13"/>
      <x:c r="K270" s="13"/>
      <x:c r="L270" s="13"/>
    </x:row>
    <x:row r="271">
      <x:c r="A271" s="10" t="n">
        <x:v>267</x:v>
      </x:c>
      <x:c r="B271" s="11" t="n">
        <x:v>1.844391240426551</x:v>
      </x:c>
      <x:c r="C271" s="13"/>
      <x:c r="D271" s="13"/>
      <x:c r="E271" s="13"/>
      <x:c r="F271" s="13"/>
      <x:c r="G271" s="13"/>
      <x:c r="H271" s="13"/>
      <x:c r="I271" s="13"/>
      <x:c r="J271" s="13"/>
      <x:c r="K271" s="13"/>
      <x:c r="L271" s="13"/>
    </x:row>
    <x:row r="272">
      <x:c r="A272" s="10" t="n">
        <x:v>268</x:v>
      </x:c>
      <x:c r="B272" s="11" t="n">
        <x:v>3.2549770409651786</x:v>
      </x:c>
      <x:c r="C272" s="13"/>
      <x:c r="D272" s="13"/>
      <x:c r="E272" s="13"/>
      <x:c r="F272" s="13"/>
      <x:c r="G272" s="13"/>
      <x:c r="H272" s="13"/>
      <x:c r="I272" s="13"/>
      <x:c r="J272" s="13"/>
      <x:c r="K272" s="13"/>
      <x:c r="L272" s="13"/>
    </x:row>
    <x:row r="273">
      <x:c r="A273" s="10" t="n">
        <x:v>269</x:v>
      </x:c>
      <x:c r="B273" s="11" t="n">
        <x:v>7.088655553928833</x:v>
      </x:c>
      <x:c r="C273" s="13"/>
      <x:c r="D273" s="13"/>
      <x:c r="E273" s="13"/>
      <x:c r="F273" s="13"/>
      <x:c r="G273" s="13"/>
      <x:c r="H273" s="13"/>
      <x:c r="I273" s="13"/>
      <x:c r="J273" s="13"/>
      <x:c r="K273" s="13"/>
      <x:c r="L273" s="13"/>
    </x:row>
    <x:row r="274">
      <x:c r="A274" s="10" t="n">
        <x:v>270</x:v>
      </x:c>
      <x:c r="B274" s="11" t="n">
        <x:v>3.2771949026989793</x:v>
      </x:c>
      <x:c r="C274" s="13"/>
      <x:c r="D274" s="13"/>
      <x:c r="E274" s="13"/>
      <x:c r="F274" s="13"/>
      <x:c r="G274" s="13"/>
      <x:c r="H274" s="13"/>
      <x:c r="I274" s="13"/>
      <x:c r="J274" s="13"/>
      <x:c r="K274" s="13"/>
      <x:c r="L274" s="13"/>
    </x:row>
    <x:row r="275">
      <x:c r="A275" s="10" t="n">
        <x:v>271</x:v>
      </x:c>
      <x:c r="B275" s="11" t="n">
        <x:v>0.46462247622529973</x:v>
      </x:c>
      <x:c r="C275" s="13"/>
      <x:c r="D275" s="13"/>
      <x:c r="E275" s="13"/>
      <x:c r="F275" s="13"/>
      <x:c r="G275" s="13"/>
      <x:c r="H275" s="13"/>
      <x:c r="I275" s="13"/>
      <x:c r="J275" s="13"/>
      <x:c r="K275" s="13"/>
      <x:c r="L275" s="13"/>
    </x:row>
    <x:row r="276">
      <x:c r="A276" s="10" t="n">
        <x:v>272</x:v>
      </x:c>
      <x:c r="B276" s="11" t="n">
        <x:v>0.21040117571204375</x:v>
      </x:c>
      <x:c r="C276" s="13"/>
      <x:c r="D276" s="13"/>
      <x:c r="E276" s="13"/>
      <x:c r="F276" s="13"/>
      <x:c r="G276" s="13"/>
      <x:c r="H276" s="13"/>
      <x:c r="I276" s="13"/>
      <x:c r="J276" s="13"/>
      <x:c r="K276" s="13"/>
      <x:c r="L276" s="13"/>
    </x:row>
    <x:row r="277">
      <x:c r="A277" s="10" t="n">
        <x:v>273</x:v>
      </x:c>
      <x:c r="B277" s="11" t="n">
        <x:v>2.372686946611889</x:v>
      </x:c>
      <x:c r="C277" s="13"/>
      <x:c r="D277" s="13"/>
      <x:c r="E277" s="13"/>
      <x:c r="F277" s="13"/>
      <x:c r="G277" s="13"/>
      <x:c r="H277" s="13"/>
      <x:c r="I277" s="13"/>
      <x:c r="J277" s="13"/>
      <x:c r="K277" s="13"/>
      <x:c r="L277" s="13"/>
    </x:row>
    <x:row r="278">
      <x:c r="A278" s="10" t="n">
        <x:v>274</x:v>
      </x:c>
      <x:c r="B278" s="11" t="n">
        <x:v>1.2692620778349277</x:v>
      </x:c>
      <x:c r="C278" s="13"/>
      <x:c r="D278" s="13"/>
      <x:c r="E278" s="13"/>
      <x:c r="F278" s="13"/>
      <x:c r="G278" s="13"/>
      <x:c r="H278" s="13"/>
      <x:c r="I278" s="13"/>
      <x:c r="J278" s="13"/>
      <x:c r="K278" s="13"/>
      <x:c r="L278" s="13"/>
    </x:row>
    <x:row r="279">
      <x:c r="A279" s="10" t="n">
        <x:v>275</x:v>
      </x:c>
      <x:c r="B279" s="11" t="n">
        <x:v>0.8609510446205931</x:v>
      </x:c>
      <x:c r="C279" s="13"/>
      <x:c r="D279" s="13"/>
      <x:c r="E279" s="13"/>
      <x:c r="F279" s="13"/>
      <x:c r="G279" s="13"/>
      <x:c r="H279" s="13"/>
      <x:c r="I279" s="13"/>
      <x:c r="J279" s="13"/>
      <x:c r="K279" s="13"/>
      <x:c r="L279" s="13"/>
    </x:row>
    <x:row r="280">
      <x:c r="A280" s="10" t="n">
        <x:v>276</x:v>
      </x:c>
      <x:c r="B280" s="11" t="n">
        <x:v>63.60824841437342</x:v>
      </x:c>
      <x:c r="C280" s="13"/>
      <x:c r="D280" s="13"/>
      <x:c r="E280" s="13"/>
      <x:c r="F280" s="13"/>
      <x:c r="G280" s="13"/>
      <x:c r="H280" s="13"/>
      <x:c r="I280" s="13"/>
      <x:c r="J280" s="13"/>
      <x:c r="K280" s="13"/>
      <x:c r="L280" s="13"/>
    </x:row>
    <x:row r="281">
      <x:c r="A281" s="10" t="n">
        <x:v>277</x:v>
      </x:c>
      <x:c r="B281" s="11" t="n">
        <x:v>5.435732285347994</x:v>
      </x:c>
      <x:c r="C281" s="13"/>
      <x:c r="D281" s="13"/>
      <x:c r="E281" s="13"/>
      <x:c r="F281" s="13"/>
      <x:c r="G281" s="13"/>
      <x:c r="H281" s="13"/>
      <x:c r="I281" s="13"/>
      <x:c r="J281" s="13"/>
      <x:c r="K281" s="13"/>
      <x:c r="L281" s="13"/>
    </x:row>
    <x:row r="282">
      <x:c r="A282" s="10" t="n">
        <x:v>278</x:v>
      </x:c>
      <x:c r="B282" s="11" t="n">
        <x:v>4.00743735401753</x:v>
      </x:c>
      <x:c r="C282" s="13"/>
      <x:c r="D282" s="13"/>
      <x:c r="E282" s="13"/>
      <x:c r="F282" s="13"/>
      <x:c r="G282" s="13"/>
      <x:c r="H282" s="13"/>
      <x:c r="I282" s="13"/>
      <x:c r="J282" s="13"/>
      <x:c r="K282" s="13"/>
      <x:c r="L282" s="13"/>
    </x:row>
    <x:row r="283">
      <x:c r="A283" s="10" t="n">
        <x:v>279</x:v>
      </x:c>
      <x:c r="B283" s="11" t="n">
        <x:v>2.4248924764122752</x:v>
      </x:c>
      <x:c r="C283" s="13"/>
      <x:c r="D283" s="13"/>
      <x:c r="E283" s="13"/>
      <x:c r="F283" s="13"/>
      <x:c r="G283" s="13"/>
      <x:c r="H283" s="13"/>
      <x:c r="I283" s="13"/>
      <x:c r="J283" s="13"/>
      <x:c r="K283" s="13"/>
      <x:c r="L283" s="13"/>
    </x:row>
    <x:row r="284">
      <x:c r="A284" s="10" t="n">
        <x:v>280</x:v>
      </x:c>
      <x:c r="B284" s="11" t="n">
        <x:v>3.012744869798145</x:v>
      </x:c>
      <x:c r="C284" s="13"/>
      <x:c r="D284" s="13"/>
      <x:c r="E284" s="13"/>
      <x:c r="F284" s="13"/>
      <x:c r="G284" s="13"/>
      <x:c r="H284" s="13"/>
      <x:c r="I284" s="13"/>
      <x:c r="J284" s="13"/>
      <x:c r="K284" s="13"/>
      <x:c r="L284" s="13"/>
    </x:row>
    <x:row r="285">
      <x:c r="A285" s="10" t="n">
        <x:v>281</x:v>
      </x:c>
      <x:c r="B285" s="11" t="n">
        <x:v>41.46000027467294</x:v>
      </x:c>
      <x:c r="C285" s="13"/>
      <x:c r="D285" s="13"/>
      <x:c r="E285" s="13"/>
      <x:c r="F285" s="13"/>
      <x:c r="G285" s="13"/>
      <x:c r="H285" s="13"/>
      <x:c r="I285" s="13"/>
      <x:c r="J285" s="13"/>
      <x:c r="K285" s="13"/>
      <x:c r="L285" s="13"/>
    </x:row>
    <x:row r="286">
      <x:c r="A286" s="10" t="n">
        <x:v>282</x:v>
      </x:c>
      <x:c r="B286" s="11" t="n">
        <x:v>3.1079150070779225</x:v>
      </x:c>
      <x:c r="C286" s="13"/>
      <x:c r="D286" s="13"/>
      <x:c r="E286" s="13"/>
      <x:c r="F286" s="13"/>
      <x:c r="G286" s="13"/>
      <x:c r="H286" s="13"/>
      <x:c r="I286" s="13"/>
      <x:c r="J286" s="13"/>
      <x:c r="K286" s="13"/>
      <x:c r="L286" s="13"/>
    </x:row>
    <x:row r="287">
      <x:c r="A287" s="10" t="n">
        <x:v>283</x:v>
      </x:c>
      <x:c r="B287" s="11" t="n">
        <x:v>0.7418479232025645</x:v>
      </x:c>
      <x:c r="C287" s="13"/>
      <x:c r="D287" s="13"/>
      <x:c r="E287" s="13"/>
      <x:c r="F287" s="13"/>
      <x:c r="G287" s="13"/>
      <x:c r="H287" s="13"/>
      <x:c r="I287" s="13"/>
      <x:c r="J287" s="13"/>
      <x:c r="K287" s="13"/>
      <x:c r="L287" s="13"/>
    </x:row>
    <x:row r="288">
      <x:c r="A288" s="10" t="n">
        <x:v>284</x:v>
      </x:c>
      <x:c r="B288" s="11" t="n">
        <x:v>0.2849914008904361</x:v>
      </x:c>
      <x:c r="C288" s="13"/>
      <x:c r="D288" s="13"/>
      <x:c r="E288" s="13"/>
      <x:c r="F288" s="13"/>
      <x:c r="G288" s="13"/>
      <x:c r="H288" s="13"/>
      <x:c r="I288" s="13"/>
      <x:c r="J288" s="13"/>
      <x:c r="K288" s="13"/>
      <x:c r="L288" s="13"/>
    </x:row>
    <x:row r="289">
      <x:c r="A289" s="10" t="n">
        <x:v>285</x:v>
      </x:c>
      <x:c r="B289" s="11" t="n">
        <x:v>10.003084441319105</x:v>
      </x:c>
      <x:c r="C289" s="13"/>
      <x:c r="D289" s="13"/>
      <x:c r="E289" s="13"/>
      <x:c r="F289" s="13"/>
      <x:c r="G289" s="13"/>
      <x:c r="H289" s="13"/>
      <x:c r="I289" s="13"/>
      <x:c r="J289" s="13"/>
      <x:c r="K289" s="13"/>
      <x:c r="L289" s="13"/>
    </x:row>
    <x:row r="290">
      <x:c r="A290" s="10" t="n">
        <x:v>286</x:v>
      </x:c>
      <x:c r="B290" s="11" t="n">
        <x:v>8.00968621765062</x:v>
      </x:c>
      <x:c r="C290" s="13"/>
      <x:c r="D290" s="13"/>
      <x:c r="E290" s="13"/>
      <x:c r="F290" s="13"/>
      <x:c r="G290" s="13"/>
      <x:c r="H290" s="13"/>
      <x:c r="I290" s="13"/>
      <x:c r="J290" s="13"/>
      <x:c r="K290" s="13"/>
      <x:c r="L290" s="13"/>
    </x:row>
    <x:row r="291">
      <x:c r="A291" s="10" t="n">
        <x:v>287</x:v>
      </x:c>
      <x:c r="B291" s="11" t="n">
        <x:v>44.646001792934015</x:v>
      </x:c>
      <x:c r="C291" s="13"/>
      <x:c r="D291" s="13"/>
      <x:c r="E291" s="13"/>
      <x:c r="F291" s="13"/>
      <x:c r="G291" s="13"/>
      <x:c r="H291" s="13"/>
      <x:c r="I291" s="13"/>
      <x:c r="J291" s="13"/>
      <x:c r="K291" s="13"/>
      <x:c r="L291" s="13"/>
    </x:row>
    <x:row r="292">
      <x:c r="A292" s="10" t="n">
        <x:v>288</x:v>
      </x:c>
      <x:c r="B292" s="11" t="n">
        <x:v>0.7313227823338122</x:v>
      </x:c>
      <x:c r="C292" s="13"/>
      <x:c r="D292" s="13"/>
      <x:c r="E292" s="13"/>
      <x:c r="F292" s="13"/>
      <x:c r="G292" s="13"/>
      <x:c r="H292" s="13"/>
      <x:c r="I292" s="13"/>
      <x:c r="J292" s="13"/>
      <x:c r="K292" s="13"/>
      <x:c r="L292" s="13"/>
    </x:row>
    <x:row r="293">
      <x:c r="A293" s="10" t="n">
        <x:v>289</x:v>
      </x:c>
      <x:c r="B293" s="11" t="n">
        <x:v>1.5006888688387456</x:v>
      </x:c>
      <x:c r="C293" s="13"/>
      <x:c r="D293" s="13"/>
      <x:c r="E293" s="13"/>
      <x:c r="F293" s="13"/>
      <x:c r="G293" s="13"/>
      <x:c r="H293" s="13"/>
      <x:c r="I293" s="13"/>
      <x:c r="J293" s="13"/>
      <x:c r="K293" s="13"/>
      <x:c r="L293" s="13"/>
    </x:row>
    <x:row r="294">
      <x:c r="A294" s="10" t="n">
        <x:v>290</x:v>
      </x:c>
      <x:c r="B294" s="11" t="n">
        <x:v>3.142435770288665</x:v>
      </x:c>
      <x:c r="C294" s="13"/>
      <x:c r="D294" s="13"/>
      <x:c r="E294" s="13"/>
      <x:c r="F294" s="13"/>
      <x:c r="G294" s="13"/>
      <x:c r="H294" s="13"/>
      <x:c r="I294" s="13"/>
      <x:c r="J294" s="13"/>
      <x:c r="K294" s="13"/>
      <x:c r="L294" s="13"/>
    </x:row>
    <x:row r="295">
      <x:c r="A295" s="10" t="n">
        <x:v>291</x:v>
      </x:c>
      <x:c r="B295" s="11" t="n">
        <x:v>6.0627205277298435</x:v>
      </x:c>
      <x:c r="C295" s="13"/>
      <x:c r="D295" s="13"/>
      <x:c r="E295" s="13"/>
      <x:c r="F295" s="13"/>
      <x:c r="G295" s="13"/>
      <x:c r="H295" s="13"/>
      <x:c r="I295" s="13"/>
      <x:c r="J295" s="13"/>
      <x:c r="K295" s="13"/>
      <x:c r="L295" s="13"/>
    </x:row>
    <x:row r="296">
      <x:c r="A296" s="10" t="n">
        <x:v>292</x:v>
      </x:c>
      <x:c r="B296" s="11" t="n">
        <x:v>0.20869398594894825</x:v>
      </x:c>
      <x:c r="C296" s="13"/>
      <x:c r="D296" s="13"/>
      <x:c r="E296" s="13"/>
      <x:c r="F296" s="13"/>
      <x:c r="G296" s="13"/>
      <x:c r="H296" s="13"/>
      <x:c r="I296" s="13"/>
      <x:c r="J296" s="13"/>
      <x:c r="K296" s="13"/>
      <x:c r="L296" s="13"/>
    </x:row>
    <x:row r="297">
      <x:c r="A297" s="10" t="n">
        <x:v>293</x:v>
      </x:c>
      <x:c r="B297" s="11" t="n">
        <x:v>4.612630222181225</x:v>
      </x:c>
      <x:c r="C297" s="13"/>
      <x:c r="D297" s="13"/>
      <x:c r="E297" s="13"/>
      <x:c r="F297" s="13"/>
      <x:c r="G297" s="13"/>
      <x:c r="H297" s="13"/>
      <x:c r="I297" s="13"/>
      <x:c r="J297" s="13"/>
      <x:c r="K297" s="13"/>
      <x:c r="L297" s="13"/>
    </x:row>
    <x:row r="298">
      <x:c r="A298" s="10" t="n">
        <x:v>294</x:v>
      </x:c>
      <x:c r="B298" s="11" t="n">
        <x:v>16.11177979595979</x:v>
      </x:c>
      <x:c r="C298" s="13"/>
      <x:c r="D298" s="13"/>
      <x:c r="E298" s="13"/>
      <x:c r="F298" s="13"/>
      <x:c r="G298" s="13"/>
      <x:c r="H298" s="13"/>
      <x:c r="I298" s="13"/>
      <x:c r="J298" s="13"/>
      <x:c r="K298" s="13"/>
      <x:c r="L298" s="13"/>
    </x:row>
    <x:row r="299">
      <x:c r="A299" s="10" t="n">
        <x:v>295</x:v>
      </x:c>
      <x:c r="B299" s="11" t="n">
        <x:v>4.152938311466118</x:v>
      </x:c>
      <x:c r="C299" s="13"/>
      <x:c r="D299" s="13"/>
      <x:c r="E299" s="13"/>
      <x:c r="F299" s="13"/>
      <x:c r="G299" s="13"/>
      <x:c r="H299" s="13"/>
      <x:c r="I299" s="13"/>
      <x:c r="J299" s="13"/>
      <x:c r="K299" s="13"/>
      <x:c r="L299" s="13"/>
    </x:row>
    <x:row r="300">
      <x:c r="A300" s="10" t="n">
        <x:v>296</x:v>
      </x:c>
      <x:c r="B300" s="11" t="n">
        <x:v>2.64020397703233</x:v>
      </x:c>
      <x:c r="C300" s="13"/>
      <x:c r="D300" s="13"/>
      <x:c r="E300" s="13"/>
      <x:c r="F300" s="13"/>
      <x:c r="G300" s="13"/>
      <x:c r="H300" s="13"/>
      <x:c r="I300" s="13"/>
      <x:c r="J300" s="13"/>
      <x:c r="K300" s="13"/>
      <x:c r="L300" s="13"/>
    </x:row>
    <x:row r="301">
      <x:c r="A301" s="10" t="n">
        <x:v>297</x:v>
      </x:c>
      <x:c r="B301" s="11" t="n">
        <x:v>2.5104904781139488</x:v>
      </x:c>
      <x:c r="C301" s="13"/>
      <x:c r="D301" s="13"/>
      <x:c r="E301" s="13"/>
      <x:c r="F301" s="13"/>
      <x:c r="G301" s="13"/>
      <x:c r="H301" s="13"/>
      <x:c r="I301" s="13"/>
      <x:c r="J301" s="13"/>
      <x:c r="K301" s="13"/>
      <x:c r="L301" s="13"/>
    </x:row>
    <x:row r="302">
      <x:c r="A302" s="10" t="n">
        <x:v>298</x:v>
      </x:c>
      <x:c r="B302" s="11" t="n">
        <x:v>20.610527626630226</x:v>
      </x:c>
      <x:c r="C302" s="13"/>
      <x:c r="D302" s="13"/>
      <x:c r="E302" s="13"/>
      <x:c r="F302" s="13"/>
      <x:c r="G302" s="13"/>
      <x:c r="H302" s="13"/>
      <x:c r="I302" s="13"/>
      <x:c r="J302" s="13"/>
      <x:c r="K302" s="13"/>
      <x:c r="L302" s="13"/>
    </x:row>
    <x:row r="303">
      <x:c r="A303" s="10" t="n">
        <x:v>299</x:v>
      </x:c>
      <x:c r="B303" s="11" t="n">
        <x:v>3.981049706617332</x:v>
      </x:c>
      <x:c r="C303" s="13"/>
      <x:c r="D303" s="13"/>
      <x:c r="E303" s="13"/>
      <x:c r="F303" s="13"/>
      <x:c r="G303" s="13"/>
      <x:c r="H303" s="13"/>
      <x:c r="I303" s="13"/>
      <x:c r="J303" s="13"/>
      <x:c r="K303" s="13"/>
      <x:c r="L303" s="13"/>
    </x:row>
    <x:row r="304">
      <x:c r="A304" s="10" t="n">
        <x:v>300</x:v>
      </x:c>
      <x:c r="B304" s="11" t="n">
        <x:v>2.6147805276634277</x:v>
      </x:c>
      <x:c r="C304" s="13"/>
      <x:c r="D304" s="13"/>
      <x:c r="E304" s="13"/>
      <x:c r="F304" s="13"/>
      <x:c r="G304" s="13"/>
      <x:c r="H304" s="13"/>
      <x:c r="I304" s="13"/>
      <x:c r="J304" s="13"/>
      <x:c r="K304" s="13"/>
      <x:c r="L304" s="13"/>
    </x:row>
  </x:sheetData>
  <x:pageMargins left="0.7" right="0.7" top="0.75" bottom="0.75" header="0.3" footer="0.3"/>
  <x:drawing xmlns:r="http://schemas.openxmlformats.org/officeDocument/2006/relationships" r:id="R9951e9abe6104be0"/>
</x:worksheet>
</file>